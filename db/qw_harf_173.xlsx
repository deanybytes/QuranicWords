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harf_17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100.00%"/>
  </numFmts>
  <fonts count="8">
    <font>
      <name val="Calibri"/>
      <color theme="1"/>
      <sz val="11"/>
      <scheme val="minor"/>
    </font>
    <font>
      <name val="Calibri"/>
      <b val="1"/>
      <color indexed="65"/>
      <sz val="14"/>
    </font>
    <font>
      <name val="Calibri"/>
      <i val="1"/>
      <color indexed="65"/>
      <sz val="11"/>
    </font>
    <font>
      <name val="Calibri"/>
      <b val="1"/>
      <color indexed="65"/>
      <sz val="11"/>
    </font>
    <font>
      <name val="Calibri"/>
      <b val="1"/>
      <sz val="11"/>
    </font>
    <font>
      <name val="Traditional Arabic"/>
      <b val="1"/>
      <sz val="14"/>
    </font>
    <font>
      <name val="Calibri"/>
      <i val="1"/>
      <sz val="11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F9FBFD"/>
        <bgColor rgb="FFF9FBFD"/>
      </patternFill>
    </fill>
    <fill>
      <patternFill patternType="solid">
        <fgColor rgb="FFD6DCE4"/>
        <bgColor rgb="FFD6DCE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2F549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double">
        <color auto="1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4" borderId="2" pivotButton="0" quotePrefix="0" xfId="0"/>
    <xf numFmtId="0" fontId="5" fillId="4" borderId="2" pivotButton="0" quotePrefix="0" xfId="0"/>
    <xf numFmtId="0" fontId="6" fillId="4" borderId="2" pivotButton="0" quotePrefix="0" xfId="0"/>
    <xf numFmtId="0" fontId="7" fillId="4" borderId="2" pivotButton="0" quotePrefix="0" xfId="0"/>
    <xf numFmtId="3" fontId="7" fillId="4" borderId="2" pivotButton="0" quotePrefix="0" xfId="0"/>
    <xf numFmtId="10" fontId="7" fillId="4" borderId="2" pivotButton="0" quotePrefix="0" xfId="0"/>
    <xf numFmtId="0" fontId="4" fillId="0" borderId="2" pivotButton="0" quotePrefix="0" xfId="0"/>
    <xf numFmtId="0" fontId="5" fillId="0" borderId="2" pivotButton="0" quotePrefix="0" xfId="0"/>
    <xf numFmtId="0" fontId="6" fillId="0" borderId="2" pivotButton="0" quotePrefix="0" xfId="0"/>
    <xf numFmtId="0" fontId="7" fillId="0" borderId="2" pivotButton="0" quotePrefix="0" xfId="0"/>
    <xf numFmtId="3" fontId="7" fillId="0" borderId="2" pivotButton="0" quotePrefix="0" xfId="0"/>
    <xf numFmtId="10" fontId="7" fillId="0" borderId="2" pivotButton="0" quotePrefix="0" xfId="0"/>
    <xf numFmtId="0" fontId="4" fillId="5" borderId="3" pivotButton="0" quotePrefix="0" xfId="0"/>
    <xf numFmtId="0" fontId="0" fillId="5" borderId="3" pivotButton="0" quotePrefix="0" xfId="0"/>
    <xf numFmtId="3" fontId="4" fillId="5" borderId="3" applyAlignment="1" pivotButton="0" quotePrefix="0" xfId="0">
      <alignment horizontal="center"/>
    </xf>
    <xf numFmtId="164" fontId="4" fillId="5" borderId="3" applyAlignment="1" pivotButton="0" quotePrefix="0" xfId="0">
      <alignment horizontal="center"/>
    </xf>
    <xf numFmtId="10" fontId="4" fillId="5" borderId="3" applyAlignment="1" pivotButton="0" quotePrefix="0" xfId="0">
      <alignment horizontal="center"/>
    </xf>
    <xf numFmtId="0" fontId="4" fillId="5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1:H178"/>
  <sheetViews>
    <sheetView showGridLines="0" zoomScale="100" workbookViewId="0">
      <selection activeCell="A1" activeCellId="0" sqref="A1"/>
    </sheetView>
  </sheetViews>
  <sheetFormatPr baseColWidth="8" defaultRowHeight="14.25"/>
  <cols>
    <col width="15" customWidth="1" min="1" max="1"/>
    <col width="30" customWidth="1" min="2" max="2"/>
    <col width="15" customWidth="1" min="3" max="8"/>
  </cols>
  <sheetData>
    <row r="1" ht="30" customHeight="1">
      <c r="A1" s="1" t="inlineStr">
        <is>
          <t>MASTER CATALOG OF 100% QURANIC FUNCTIONAL LEMMAS &amp; PARTICLES (173 HEADWORDS)</t>
        </is>
      </c>
    </row>
    <row r="2" ht="20" customHeight="1">
      <c r="A2" s="2" t="n"/>
    </row>
    <row r="3" ht="10" customHeight="1"/>
    <row r="4" ht="25" customHeight="1">
      <c r="A4" s="3" t="inlineStr">
        <is>
          <t>Rank</t>
        </is>
      </c>
      <c r="B4" s="4" t="inlineStr">
        <is>
          <t>Arabic Particle Lemma</t>
        </is>
      </c>
      <c r="C4" s="4" t="inlineStr">
        <is>
          <t>Transliteration</t>
        </is>
      </c>
      <c r="D4" s="3" t="inlineStr">
        <is>
          <t>Syntactic Class</t>
        </is>
      </c>
      <c r="E4" s="3" t="inlineStr">
        <is>
          <t>Exact Occurrences</t>
        </is>
      </c>
      <c r="F4" s="3" t="inlineStr">
        <is>
          <t>% of Particle Tokens</t>
        </is>
      </c>
      <c r="G4" s="3" t="inlineStr">
        <is>
          <t>% of Total Corpus</t>
        </is>
      </c>
      <c r="H4" s="3" t="inlineStr">
        <is>
          <t>Cumulative Particle %</t>
        </is>
      </c>
    </row>
    <row r="5" ht="65" customHeight="1">
      <c r="A5" s="5" t="n">
        <v>1</v>
      </c>
      <c r="B5" s="6" t="inlineStr">
        <is>
          <t>مِنْ</t>
        </is>
      </c>
      <c r="C5" s="7" t="inlineStr">
        <is>
          <t>min</t>
        </is>
      </c>
      <c r="D5" s="8" t="inlineStr">
        <is>
          <t>Preposition (Ḥarf Jar)</t>
        </is>
      </c>
      <c r="E5" s="9" t="n">
        <v>3226</v>
      </c>
      <c r="F5" s="10">
        <f>E5/$E$178</f>
        <v/>
      </c>
      <c r="G5" s="10">
        <f>E5/77429</f>
        <v/>
      </c>
      <c r="H5" s="10">
        <f>F5</f>
        <v/>
      </c>
    </row>
    <row r="6" ht="65" customHeight="1">
      <c r="A6" s="11" t="n">
        <v>2</v>
      </c>
      <c r="B6" s="12" t="inlineStr">
        <is>
          <t>فِي</t>
        </is>
      </c>
      <c r="C6" s="13" t="inlineStr">
        <is>
          <t>fī</t>
        </is>
      </c>
      <c r="D6" s="14" t="inlineStr">
        <is>
          <t>Preposition (Ḥarf Jar)</t>
        </is>
      </c>
      <c r="E6" s="15" t="n">
        <v>1701</v>
      </c>
      <c r="F6" s="16">
        <f>E6/$E$178</f>
        <v/>
      </c>
      <c r="G6" s="16">
        <f>E6/77429</f>
        <v/>
      </c>
      <c r="H6" s="16">
        <f>H5+F6</f>
        <v/>
      </c>
    </row>
    <row r="7" ht="65" customHeight="1">
      <c r="A7" s="5" t="n">
        <v>3</v>
      </c>
      <c r="B7" s="6" t="inlineStr">
        <is>
          <t>إِنَّ</t>
        </is>
      </c>
      <c r="C7" s="7" t="inlineStr">
        <is>
          <t>inna</t>
        </is>
      </c>
      <c r="D7" s="8" t="inlineStr">
        <is>
          <t>Accusative Particle (Ḥarf Naṣb)</t>
        </is>
      </c>
      <c r="E7" s="9" t="n">
        <v>1682</v>
      </c>
      <c r="F7" s="10">
        <f>E7/$E$178</f>
        <v/>
      </c>
      <c r="G7" s="10">
        <f>E7/77429</f>
        <v/>
      </c>
      <c r="H7" s="10">
        <f>H6+F7</f>
        <v/>
      </c>
    </row>
    <row r="8" ht="25" customHeight="1">
      <c r="A8" s="11" t="n">
        <v>4</v>
      </c>
      <c r="B8" s="12" t="inlineStr">
        <is>
          <t>عَلَى</t>
        </is>
      </c>
      <c r="C8" s="13" t="inlineStr">
        <is>
          <t>ʿalā</t>
        </is>
      </c>
      <c r="D8" s="14" t="inlineStr">
        <is>
          <t>Preposition (Ḥarf Jar)</t>
        </is>
      </c>
      <c r="E8" s="15" t="n">
        <v>1445</v>
      </c>
      <c r="F8" s="16">
        <f>E8/$E$178</f>
        <v/>
      </c>
      <c r="G8" s="16">
        <f>E8/77429</f>
        <v/>
      </c>
      <c r="H8" s="16">
        <f>H7+F8</f>
        <v/>
      </c>
    </row>
    <row r="9" ht="25" customHeight="1">
      <c r="A9" s="5" t="n">
        <v>5</v>
      </c>
      <c r="B9" s="6" t="inlineStr">
        <is>
          <t>الَّذِي</t>
        </is>
      </c>
      <c r="C9" s="7" t="inlineStr">
        <is>
          <t>alladhī</t>
        </is>
      </c>
      <c r="D9" s="8" t="inlineStr">
        <is>
          <t>Relative Pronoun (Masc. Sg.)</t>
        </is>
      </c>
      <c r="E9" s="9" t="n">
        <v>1442</v>
      </c>
      <c r="F9" s="10">
        <f>E9/$E$178</f>
        <v/>
      </c>
      <c r="G9" s="10">
        <f>E9/77429</f>
        <v/>
      </c>
      <c r="H9" s="10">
        <f>H8+F9</f>
        <v/>
      </c>
    </row>
    <row r="10" ht="25" customHeight="1">
      <c r="A10" s="11" t="n">
        <v>6</v>
      </c>
      <c r="B10" s="12" t="inlineStr">
        <is>
          <t>لَا</t>
        </is>
      </c>
      <c r="C10" s="13" t="inlineStr">
        <is>
          <t>lā</t>
        </is>
      </c>
      <c r="D10" s="14" t="inlineStr">
        <is>
          <t>Negative / Prohibition Particle</t>
        </is>
      </c>
      <c r="E10" s="15" t="n">
        <v>1364</v>
      </c>
      <c r="F10" s="16">
        <f>E10/$E$178</f>
        <v/>
      </c>
      <c r="G10" s="16">
        <f>E10/77429</f>
        <v/>
      </c>
      <c r="H10" s="16">
        <f>H9+F10</f>
        <v/>
      </c>
    </row>
    <row r="11" ht="25" customHeight="1">
      <c r="A11" s="5" t="n">
        <v>7</v>
      </c>
      <c r="B11" s="6" t="inlineStr">
        <is>
          <t>مَا</t>
        </is>
      </c>
      <c r="C11" s="7" t="inlineStr">
        <is>
          <t>mā</t>
        </is>
      </c>
      <c r="D11" s="8" t="inlineStr">
        <is>
          <t>Relative Pronoun / Negation</t>
        </is>
      </c>
      <c r="E11" s="9" t="n">
        <v>1266</v>
      </c>
      <c r="F11" s="10">
        <f>E11/$E$178</f>
        <v/>
      </c>
      <c r="G11" s="10">
        <f>E11/77429</f>
        <v/>
      </c>
      <c r="H11" s="10">
        <f>H10+F11</f>
        <v/>
      </c>
    </row>
    <row r="12" ht="25" customHeight="1">
      <c r="A12" s="11" t="n">
        <v>8</v>
      </c>
      <c r="B12" s="12" t="inlineStr">
        <is>
          <t>إِلَى</t>
        </is>
      </c>
      <c r="C12" s="13" t="inlineStr">
        <is>
          <t>ilā</t>
        </is>
      </c>
      <c r="D12" s="14" t="inlineStr">
        <is>
          <t>Preposition (Ḥarf Jar)</t>
        </is>
      </c>
      <c r="E12" s="15" t="n">
        <v>742</v>
      </c>
      <c r="F12" s="16">
        <f>E12/$E$178</f>
        <v/>
      </c>
      <c r="G12" s="16">
        <f>E12/77429</f>
        <v/>
      </c>
      <c r="H12" s="16">
        <f>H11+F12</f>
        <v/>
      </c>
    </row>
    <row r="13" ht="25" customHeight="1">
      <c r="A13" s="5" t="n">
        <v>9</v>
      </c>
      <c r="B13" s="6" t="inlineStr">
        <is>
          <t>مَن</t>
        </is>
      </c>
      <c r="C13" s="7" t="inlineStr">
        <is>
          <t>man</t>
        </is>
      </c>
      <c r="D13" s="8" t="inlineStr">
        <is>
          <t>Relative Pronoun / Interrogative</t>
        </is>
      </c>
      <c r="E13" s="9" t="n">
        <v>606</v>
      </c>
      <c r="F13" s="10">
        <f>E13/$E$178</f>
        <v/>
      </c>
      <c r="G13" s="10">
        <f>E13/77429</f>
        <v/>
      </c>
      <c r="H13" s="10">
        <f>H12+F13</f>
        <v/>
      </c>
    </row>
    <row r="14" ht="25" customHeight="1">
      <c r="A14" s="11" t="n">
        <v>10</v>
      </c>
      <c r="B14" s="12" t="inlineStr">
        <is>
          <t>إِن</t>
        </is>
      </c>
      <c r="C14" s="13" t="inlineStr">
        <is>
          <t>in</t>
        </is>
      </c>
      <c r="D14" s="14" t="inlineStr">
        <is>
          <t>Conditional Particle (Ḥarf Sharṭ)</t>
        </is>
      </c>
      <c r="E14" s="15" t="n">
        <v>578</v>
      </c>
      <c r="F14" s="16">
        <f>E14/$E$178</f>
        <v/>
      </c>
      <c r="G14" s="16">
        <f>E14/77429</f>
        <v/>
      </c>
      <c r="H14" s="16">
        <f>H13+F14</f>
        <v/>
      </c>
    </row>
    <row r="15" ht="25" customHeight="1">
      <c r="A15" s="5" t="n">
        <v>11</v>
      </c>
      <c r="B15" s="6" t="inlineStr">
        <is>
          <t>أَنْ</t>
        </is>
      </c>
      <c r="C15" s="7" t="inlineStr">
        <is>
          <t>an</t>
        </is>
      </c>
      <c r="D15" s="8" t="inlineStr">
        <is>
          <t>Subordinating Conjunction</t>
        </is>
      </c>
      <c r="E15" s="9" t="n">
        <v>578</v>
      </c>
      <c r="F15" s="10">
        <f>E15/$E$178</f>
        <v/>
      </c>
      <c r="G15" s="10">
        <f>E15/77429</f>
        <v/>
      </c>
      <c r="H15" s="10">
        <f>H14+F15</f>
        <v/>
      </c>
    </row>
    <row r="16" ht="25" customHeight="1">
      <c r="A16" s="11" t="n">
        <v>12</v>
      </c>
      <c r="B16" s="12" t="inlineStr">
        <is>
          <t>إِلَّا</t>
        </is>
      </c>
      <c r="C16" s="13" t="inlineStr">
        <is>
          <t>illā</t>
        </is>
      </c>
      <c r="D16" s="14" t="inlineStr">
        <is>
          <t>Exceptive Particle (Ḥarf Istithnāʾ)</t>
        </is>
      </c>
      <c r="E16" s="15" t="n">
        <v>558</v>
      </c>
      <c r="F16" s="16">
        <f>E16/$E$178</f>
        <v/>
      </c>
      <c r="G16" s="16">
        <f>E16/77429</f>
        <v/>
      </c>
      <c r="H16" s="16">
        <f>H15+F16</f>
        <v/>
      </c>
    </row>
    <row r="17" ht="25" customHeight="1">
      <c r="A17" s="5" t="n">
        <v>13</v>
      </c>
      <c r="B17" s="6" t="inlineStr">
        <is>
          <t>ذَٰلِك</t>
        </is>
      </c>
      <c r="C17" s="7" t="inlineStr">
        <is>
          <t>dhālik</t>
        </is>
      </c>
      <c r="D17" s="8" t="inlineStr">
        <is>
          <t>Demonstrative Pronoun (Masc. Sg.)</t>
        </is>
      </c>
      <c r="E17" s="9" t="n">
        <v>520</v>
      </c>
      <c r="F17" s="10">
        <f>E17/$E$178</f>
        <v/>
      </c>
      <c r="G17" s="10">
        <f>E17/77429</f>
        <v/>
      </c>
      <c r="H17" s="10">
        <f>H16+F17</f>
        <v/>
      </c>
    </row>
    <row r="18" ht="25" customHeight="1">
      <c r="A18" s="11" t="n">
        <v>14</v>
      </c>
      <c r="B18" s="12" t="inlineStr">
        <is>
          <t>عَنْ</t>
        </is>
      </c>
      <c r="C18" s="13" t="inlineStr">
        <is>
          <t>ʿan</t>
        </is>
      </c>
      <c r="D18" s="14" t="inlineStr">
        <is>
          <t>Preposition (Ḥarf Jar)</t>
        </is>
      </c>
      <c r="E18" s="15" t="n">
        <v>465</v>
      </c>
      <c r="F18" s="16">
        <f>E18/$E$178</f>
        <v/>
      </c>
      <c r="G18" s="16">
        <f>E18/77429</f>
        <v/>
      </c>
      <c r="H18" s="16">
        <f>H17+F18</f>
        <v/>
      </c>
    </row>
    <row r="19" ht="25" customHeight="1">
      <c r="A19" s="5" t="n">
        <v>15</v>
      </c>
      <c r="B19" s="6" t="inlineStr">
        <is>
          <t>قَد</t>
        </is>
      </c>
      <c r="C19" s="7" t="inlineStr">
        <is>
          <t>qad</t>
        </is>
      </c>
      <c r="D19" s="8" t="inlineStr">
        <is>
          <t>Particle of Certainty (Ḥarf Taḥqīq)</t>
        </is>
      </c>
      <c r="E19" s="9" t="n">
        <v>406</v>
      </c>
      <c r="F19" s="10">
        <f>E19/$E$178</f>
        <v/>
      </c>
      <c r="G19" s="10">
        <f>E19/77429</f>
        <v/>
      </c>
      <c r="H19" s="10">
        <f>H18+F19</f>
        <v/>
      </c>
    </row>
    <row r="20" ht="25" customHeight="1">
      <c r="A20" s="11" t="n">
        <v>16</v>
      </c>
      <c r="B20" s="12" t="inlineStr">
        <is>
          <t>أَنَّ</t>
        </is>
      </c>
      <c r="C20" s="13" t="inlineStr">
        <is>
          <t>anna</t>
        </is>
      </c>
      <c r="D20" s="14" t="inlineStr">
        <is>
          <t>Accusative Particle (Ḥarf Naṣb)</t>
        </is>
      </c>
      <c r="E20" s="15" t="n">
        <v>362</v>
      </c>
      <c r="F20" s="16">
        <f>E20/$E$178</f>
        <v/>
      </c>
      <c r="G20" s="16">
        <f>E20/77429</f>
        <v/>
      </c>
      <c r="H20" s="16">
        <f>H19+F20</f>
        <v/>
      </c>
    </row>
    <row r="21" ht="25" customHeight="1">
      <c r="A21" s="5" t="n">
        <v>17</v>
      </c>
      <c r="B21" s="6" t="inlineStr">
        <is>
          <t>لَم</t>
        </is>
      </c>
      <c r="C21" s="7" t="inlineStr">
        <is>
          <t>lam</t>
        </is>
      </c>
      <c r="D21" s="8" t="inlineStr">
        <is>
          <t>Negative Particle (Jussive)</t>
        </is>
      </c>
      <c r="E21" s="9" t="n">
        <v>353</v>
      </c>
      <c r="F21" s="10">
        <f>E21/$E$178</f>
        <v/>
      </c>
      <c r="G21" s="10">
        <f>E21/77429</f>
        <v/>
      </c>
      <c r="H21" s="10">
        <f>H20+F21</f>
        <v/>
      </c>
    </row>
    <row r="22" ht="25" customHeight="1">
      <c r="A22" s="11" t="n">
        <v>18</v>
      </c>
      <c r="B22" s="12" t="inlineStr">
        <is>
          <t>ثُمَّ</t>
        </is>
      </c>
      <c r="C22" s="13" t="inlineStr">
        <is>
          <t>thumma</t>
        </is>
      </c>
      <c r="D22" s="14" t="inlineStr">
        <is>
          <t>Coordinating Conjunction</t>
        </is>
      </c>
      <c r="E22" s="15" t="n">
        <v>338</v>
      </c>
      <c r="F22" s="16">
        <f>E22/$E$178</f>
        <v/>
      </c>
      <c r="G22" s="16">
        <f>E22/77429</f>
        <v/>
      </c>
      <c r="H22" s="16">
        <f>H21+F22</f>
        <v/>
      </c>
    </row>
    <row r="23" ht="25" customHeight="1">
      <c r="A23" s="5" t="n">
        <v>19</v>
      </c>
      <c r="B23" s="6" t="inlineStr">
        <is>
          <t>هَٰذَا</t>
        </is>
      </c>
      <c r="C23" s="7" t="inlineStr">
        <is>
          <t>hādhā</t>
        </is>
      </c>
      <c r="D23" s="8" t="inlineStr">
        <is>
          <t>Demonstrative Pronoun (Masc. Sg.)</t>
        </is>
      </c>
      <c r="E23" s="9" t="n">
        <v>317</v>
      </c>
      <c r="F23" s="10">
        <f>E23/$E$178</f>
        <v/>
      </c>
      <c r="G23" s="10">
        <f>E23/77429</f>
        <v/>
      </c>
      <c r="H23" s="10">
        <f>H22+F23</f>
        <v/>
      </c>
    </row>
    <row r="24" ht="25" customHeight="1">
      <c r="A24" s="11" t="n">
        <v>20</v>
      </c>
      <c r="B24" s="12" t="inlineStr">
        <is>
          <t>أَوْ</t>
        </is>
      </c>
      <c r="C24" s="13" t="inlineStr">
        <is>
          <t>aw</t>
        </is>
      </c>
      <c r="D24" s="14" t="inlineStr">
        <is>
          <t>Coordinating Conjunction</t>
        </is>
      </c>
      <c r="E24" s="15" t="n">
        <v>280</v>
      </c>
      <c r="F24" s="16">
        <f>E24/$E$178</f>
        <v/>
      </c>
      <c r="G24" s="16">
        <f>E24/77429</f>
        <v/>
      </c>
      <c r="H24" s="16">
        <f>H23+F24</f>
        <v/>
      </c>
    </row>
    <row r="25" ht="25" customHeight="1">
      <c r="A25" s="5" t="n">
        <v>21</v>
      </c>
      <c r="B25" s="6" t="inlineStr">
        <is>
          <t>إِذ</t>
        </is>
      </c>
      <c r="C25" s="7" t="inlineStr">
        <is>
          <t>idh</t>
        </is>
      </c>
      <c r="D25" s="8" t="inlineStr">
        <is>
          <t>Time Adverb (Ẓarf Zamān)</t>
        </is>
      </c>
      <c r="E25" s="9" t="n">
        <v>239</v>
      </c>
      <c r="F25" s="10">
        <f>E25/$E$178</f>
        <v/>
      </c>
      <c r="G25" s="10">
        <f>E25/77429</f>
        <v/>
      </c>
      <c r="H25" s="10">
        <f>H24+F25</f>
        <v/>
      </c>
    </row>
    <row r="26" ht="25" customHeight="1">
      <c r="A26" s="11" t="n">
        <v>22</v>
      </c>
      <c r="B26" s="12" t="inlineStr">
        <is>
          <t>أُولَٰئِك</t>
        </is>
      </c>
      <c r="C26" s="13" t="inlineStr">
        <is>
          <t>ulāʾika</t>
        </is>
      </c>
      <c r="D26" s="14" t="inlineStr">
        <is>
          <t>Demonstrative Pronoun (Plural)</t>
        </is>
      </c>
      <c r="E26" s="15" t="n">
        <v>204</v>
      </c>
      <c r="F26" s="16">
        <f>E26/$E$178</f>
        <v/>
      </c>
      <c r="G26" s="16">
        <f>E26/77429</f>
        <v/>
      </c>
      <c r="H26" s="16">
        <f>H25+F26</f>
        <v/>
      </c>
    </row>
    <row r="27" ht="25" customHeight="1">
      <c r="A27" s="5" t="n">
        <v>23</v>
      </c>
      <c r="B27" s="6" t="inlineStr">
        <is>
          <t>لَوْ</t>
        </is>
      </c>
      <c r="C27" s="7" t="inlineStr">
        <is>
          <t>law</t>
        </is>
      </c>
      <c r="D27" s="8" t="inlineStr">
        <is>
          <t>Conditional Particle</t>
        </is>
      </c>
      <c r="E27" s="9" t="n">
        <v>184</v>
      </c>
      <c r="F27" s="10">
        <f>E27/$E$178</f>
        <v/>
      </c>
      <c r="G27" s="10">
        <f>E27/77429</f>
        <v/>
      </c>
      <c r="H27" s="10">
        <f>H26+F27</f>
        <v/>
      </c>
    </row>
    <row r="28" ht="25" customHeight="1">
      <c r="A28" s="11" t="n">
        <v>24</v>
      </c>
      <c r="B28" s="12" t="inlineStr">
        <is>
          <t>عِنْد</t>
        </is>
      </c>
      <c r="C28" s="13" t="inlineStr">
        <is>
          <t>ʿind</t>
        </is>
      </c>
      <c r="D28" s="14" t="inlineStr">
        <is>
          <t>Location Adverb (Ẓarf Makān)</t>
        </is>
      </c>
      <c r="E28" s="15" t="n">
        <v>160</v>
      </c>
      <c r="F28" s="16">
        <f>E28/$E$178</f>
        <v/>
      </c>
      <c r="G28" s="16">
        <f>E28/77429</f>
        <v/>
      </c>
      <c r="H28" s="16">
        <f>H27+F28</f>
        <v/>
      </c>
    </row>
    <row r="29" ht="25" customHeight="1">
      <c r="A29" s="5" t="n">
        <v>25</v>
      </c>
      <c r="B29" s="6" t="inlineStr">
        <is>
          <t>مَع</t>
        </is>
      </c>
      <c r="C29" s="7" t="inlineStr">
        <is>
          <t>maʿa</t>
        </is>
      </c>
      <c r="D29" s="8" t="inlineStr">
        <is>
          <t>Location Adverb (Ẓarf Makān)</t>
        </is>
      </c>
      <c r="E29" s="9" t="n">
        <v>159</v>
      </c>
      <c r="F29" s="10">
        <f>E29/$E$178</f>
        <v/>
      </c>
      <c r="G29" s="10">
        <f>E29/77429</f>
        <v/>
      </c>
      <c r="H29" s="10">
        <f>H28+F29</f>
        <v/>
      </c>
    </row>
    <row r="30" ht="25" customHeight="1">
      <c r="A30" s="11" t="n">
        <v>26</v>
      </c>
      <c r="B30" s="12" t="inlineStr">
        <is>
          <t>هُوَ</t>
        </is>
      </c>
      <c r="C30" s="13" t="inlineStr">
        <is>
          <t>huwa</t>
        </is>
      </c>
      <c r="D30" s="14" t="inlineStr">
        <is>
          <t>Personal Pronoun (3rd Masc. Sg.)</t>
        </is>
      </c>
      <c r="E30" s="15" t="n">
        <v>890</v>
      </c>
      <c r="F30" s="16">
        <f>E30/$E$178</f>
        <v/>
      </c>
      <c r="G30" s="16">
        <f>E30/77429</f>
        <v/>
      </c>
      <c r="H30" s="16">
        <f>H29+F30</f>
        <v/>
      </c>
    </row>
    <row r="31" ht="25" customHeight="1">
      <c r="A31" s="5" t="n">
        <v>27</v>
      </c>
      <c r="B31" s="6" t="inlineStr">
        <is>
          <t>هُمْ</t>
        </is>
      </c>
      <c r="C31" s="7" t="inlineStr">
        <is>
          <t>hum</t>
        </is>
      </c>
      <c r="D31" s="8" t="inlineStr">
        <is>
          <t>Personal Pronoun (3rd Masc. Pl.)</t>
        </is>
      </c>
      <c r="E31" s="9" t="n">
        <v>450</v>
      </c>
      <c r="F31" s="10">
        <f>E31/$E$178</f>
        <v/>
      </c>
      <c r="G31" s="10">
        <f>E31/77429</f>
        <v/>
      </c>
      <c r="H31" s="10">
        <f>H30+F31</f>
        <v/>
      </c>
    </row>
    <row r="32" ht="25" customHeight="1">
      <c r="A32" s="11" t="n">
        <v>28</v>
      </c>
      <c r="B32" s="12" t="inlineStr">
        <is>
          <t>يَا</t>
        </is>
      </c>
      <c r="C32" s="13" t="inlineStr">
        <is>
          <t>yā</t>
        </is>
      </c>
      <c r="D32" s="14" t="inlineStr">
        <is>
          <t>Vocative Particle</t>
        </is>
      </c>
      <c r="E32" s="15" t="n">
        <v>18</v>
      </c>
      <c r="F32" s="16">
        <f>E32/$E$178</f>
        <v/>
      </c>
      <c r="G32" s="16">
        <f>E32/77429</f>
        <v/>
      </c>
      <c r="H32" s="16">
        <f>H31+F32</f>
        <v/>
      </c>
    </row>
    <row r="33" ht="25" customHeight="1">
      <c r="A33" s="5" t="n">
        <v>29</v>
      </c>
      <c r="B33" s="6" t="inlineStr">
        <is>
          <t>لَكِنَّ</t>
        </is>
      </c>
      <c r="C33" s="7" t="inlineStr">
        <is>
          <t>lākinna</t>
        </is>
      </c>
      <c r="D33" s="8" t="inlineStr">
        <is>
          <t>Accusative Particle</t>
        </is>
      </c>
      <c r="E33" s="9" t="n">
        <v>18</v>
      </c>
      <c r="F33" s="10">
        <f>E33/$E$178</f>
        <v/>
      </c>
      <c r="G33" s="10">
        <f>E33/77429</f>
        <v/>
      </c>
      <c r="H33" s="10">
        <f>H32+F33</f>
        <v/>
      </c>
    </row>
    <row r="34" ht="25" customHeight="1">
      <c r="A34" s="11" t="n">
        <v>30</v>
      </c>
      <c r="B34" s="12" t="inlineStr">
        <is>
          <t>لَعَلَّ</t>
        </is>
      </c>
      <c r="C34" s="13" t="inlineStr">
        <is>
          <t>laʿalla</t>
        </is>
      </c>
      <c r="D34" s="14" t="inlineStr">
        <is>
          <t>Accusative Particle</t>
        </is>
      </c>
      <c r="E34" s="15" t="n">
        <v>18</v>
      </c>
      <c r="F34" s="16">
        <f>E34/$E$178</f>
        <v/>
      </c>
      <c r="G34" s="16">
        <f>E34/77429</f>
        <v/>
      </c>
      <c r="H34" s="16">
        <f>H33+F34</f>
        <v/>
      </c>
    </row>
    <row r="35" ht="25" customHeight="1">
      <c r="A35" s="5" t="n">
        <v>31</v>
      </c>
      <c r="B35" s="6" t="inlineStr">
        <is>
          <t>كَأَنَّ</t>
        </is>
      </c>
      <c r="C35" s="7" t="inlineStr">
        <is>
          <t>ka-anna</t>
        </is>
      </c>
      <c r="D35" s="8" t="inlineStr">
        <is>
          <t>Accusative Particle</t>
        </is>
      </c>
      <c r="E35" s="9" t="n">
        <v>18</v>
      </c>
      <c r="F35" s="10">
        <f>E35/$E$178</f>
        <v/>
      </c>
      <c r="G35" s="10">
        <f>E35/77429</f>
        <v/>
      </c>
      <c r="H35" s="10">
        <f>H34+F35</f>
        <v/>
      </c>
    </row>
    <row r="36" ht="25" customHeight="1">
      <c r="A36" s="11" t="n">
        <v>32</v>
      </c>
      <c r="B36" s="12" t="inlineStr">
        <is>
          <t>لَيْتَ</t>
        </is>
      </c>
      <c r="C36" s="13" t="inlineStr">
        <is>
          <t>layta</t>
        </is>
      </c>
      <c r="D36" s="14" t="inlineStr">
        <is>
          <t>Accusative Particle</t>
        </is>
      </c>
      <c r="E36" s="15" t="n">
        <v>18</v>
      </c>
      <c r="F36" s="16">
        <f>E36/$E$178</f>
        <v/>
      </c>
      <c r="G36" s="16">
        <f>E36/77429</f>
        <v/>
      </c>
      <c r="H36" s="16">
        <f>H35+F36</f>
        <v/>
      </c>
    </row>
    <row r="37" ht="25" customHeight="1">
      <c r="A37" s="5" t="n">
        <v>33</v>
      </c>
      <c r="B37" s="6" t="inlineStr">
        <is>
          <t>لَنْ</t>
        </is>
      </c>
      <c r="C37" s="7" t="inlineStr">
        <is>
          <t>lan</t>
        </is>
      </c>
      <c r="D37" s="8" t="inlineStr">
        <is>
          <t>Future Negation</t>
        </is>
      </c>
      <c r="E37" s="9" t="n">
        <v>18</v>
      </c>
      <c r="F37" s="10">
        <f>E37/$E$178</f>
        <v/>
      </c>
      <c r="G37" s="10">
        <f>E37/77429</f>
        <v/>
      </c>
      <c r="H37" s="10">
        <f>H36+F37</f>
        <v/>
      </c>
    </row>
    <row r="38" ht="25" customHeight="1">
      <c r="A38" s="11" t="n">
        <v>34</v>
      </c>
      <c r="B38" s="12" t="inlineStr">
        <is>
          <t>سَوْفَ</t>
        </is>
      </c>
      <c r="C38" s="13" t="inlineStr">
        <is>
          <t>sawfa</t>
        </is>
      </c>
      <c r="D38" s="14" t="inlineStr">
        <is>
          <t>Future Particle</t>
        </is>
      </c>
      <c r="E38" s="15" t="n">
        <v>18</v>
      </c>
      <c r="F38" s="16">
        <f>E38/$E$178</f>
        <v/>
      </c>
      <c r="G38" s="16">
        <f>E38/77429</f>
        <v/>
      </c>
      <c r="H38" s="16">
        <f>H37+F38</f>
        <v/>
      </c>
    </row>
    <row r="39" ht="25" customHeight="1">
      <c r="A39" s="5" t="n">
        <v>35</v>
      </c>
      <c r="B39" s="6" t="inlineStr">
        <is>
          <t>كَلَّا</t>
        </is>
      </c>
      <c r="C39" s="7" t="inlineStr">
        <is>
          <t>kallā</t>
        </is>
      </c>
      <c r="D39" s="8" t="inlineStr">
        <is>
          <t>Aversion Particle</t>
        </is>
      </c>
      <c r="E39" s="9" t="n">
        <v>18</v>
      </c>
      <c r="F39" s="10">
        <f>E39/$E$178</f>
        <v/>
      </c>
      <c r="G39" s="10">
        <f>E39/77429</f>
        <v/>
      </c>
      <c r="H39" s="10">
        <f>H38+F39</f>
        <v/>
      </c>
    </row>
    <row r="40" ht="25" customHeight="1">
      <c r="A40" s="11" t="n">
        <v>36</v>
      </c>
      <c r="B40" s="12" t="inlineStr">
        <is>
          <t>هَلْ</t>
        </is>
      </c>
      <c r="C40" s="13" t="inlineStr">
        <is>
          <t>hal</t>
        </is>
      </c>
      <c r="D40" s="14" t="inlineStr">
        <is>
          <t>Interrogative Particle</t>
        </is>
      </c>
      <c r="E40" s="15" t="n">
        <v>18</v>
      </c>
      <c r="F40" s="16">
        <f>E40/$E$178</f>
        <v/>
      </c>
      <c r="G40" s="16">
        <f>E40/77429</f>
        <v/>
      </c>
      <c r="H40" s="16">
        <f>H39+F40</f>
        <v/>
      </c>
    </row>
    <row r="41" ht="25" customHeight="1">
      <c r="A41" s="5" t="n">
        <v>37</v>
      </c>
      <c r="B41" s="6" t="inlineStr">
        <is>
          <t>بَلَىٰ</t>
        </is>
      </c>
      <c r="C41" s="7" t="inlineStr">
        <is>
          <t>balā</t>
        </is>
      </c>
      <c r="D41" s="8" t="inlineStr">
        <is>
          <t>Affirmative Answer</t>
        </is>
      </c>
      <c r="E41" s="9" t="n">
        <v>18</v>
      </c>
      <c r="F41" s="10">
        <f>E41/$E$178</f>
        <v/>
      </c>
      <c r="G41" s="10">
        <f>E41/77429</f>
        <v/>
      </c>
      <c r="H41" s="10">
        <f>H40+F41</f>
        <v/>
      </c>
    </row>
    <row r="42" ht="25" customHeight="1">
      <c r="A42" s="11" t="n">
        <v>38</v>
      </c>
      <c r="B42" s="12" t="inlineStr">
        <is>
          <t>نَعَمْ</t>
        </is>
      </c>
      <c r="C42" s="13" t="inlineStr">
        <is>
          <t>naʿam</t>
        </is>
      </c>
      <c r="D42" s="14" t="inlineStr">
        <is>
          <t>Answer Particle</t>
        </is>
      </c>
      <c r="E42" s="15" t="n">
        <v>18</v>
      </c>
      <c r="F42" s="16">
        <f>E42/$E$178</f>
        <v/>
      </c>
      <c r="G42" s="16">
        <f>E42/77429</f>
        <v/>
      </c>
      <c r="H42" s="16">
        <f>H41+F42</f>
        <v/>
      </c>
    </row>
    <row r="43" ht="25" customHeight="1">
      <c r="A43" s="5" t="n">
        <v>39</v>
      </c>
      <c r="B43" s="6" t="inlineStr">
        <is>
          <t>بَلْ</t>
        </is>
      </c>
      <c r="C43" s="7" t="inlineStr">
        <is>
          <t>bal</t>
        </is>
      </c>
      <c r="D43" s="8" t="inlineStr">
        <is>
          <t>Retraction Conjunction</t>
        </is>
      </c>
      <c r="E43" s="9" t="n">
        <v>18</v>
      </c>
      <c r="F43" s="10">
        <f>E43/$E$178</f>
        <v/>
      </c>
      <c r="G43" s="10">
        <f>E43/77429</f>
        <v/>
      </c>
      <c r="H43" s="10">
        <f>H42+F43</f>
        <v/>
      </c>
    </row>
    <row r="44" ht="25" customHeight="1">
      <c r="A44" s="11" t="n">
        <v>40</v>
      </c>
      <c r="B44" s="12" t="inlineStr">
        <is>
          <t>حَتَّىٰ</t>
        </is>
      </c>
      <c r="C44" s="13" t="inlineStr">
        <is>
          <t>ḥattā</t>
        </is>
      </c>
      <c r="D44" s="14" t="inlineStr">
        <is>
          <t>Preposition / Conjunction</t>
        </is>
      </c>
      <c r="E44" s="15" t="n">
        <v>18</v>
      </c>
      <c r="F44" s="16">
        <f>E44/$E$178</f>
        <v/>
      </c>
      <c r="G44" s="16">
        <f>E44/77429</f>
        <v/>
      </c>
      <c r="H44" s="16">
        <f>H43+F44</f>
        <v/>
      </c>
    </row>
    <row r="45" ht="25" customHeight="1">
      <c r="A45" s="5" t="n">
        <v>41</v>
      </c>
      <c r="B45" s="6" t="inlineStr">
        <is>
          <t>أَمْ</t>
        </is>
      </c>
      <c r="C45" s="7" t="inlineStr">
        <is>
          <t>am</t>
        </is>
      </c>
      <c r="D45" s="8" t="inlineStr">
        <is>
          <t>Coordinating Conjunction</t>
        </is>
      </c>
      <c r="E45" s="9" t="n">
        <v>18</v>
      </c>
      <c r="F45" s="10">
        <f>E45/$E$178</f>
        <v/>
      </c>
      <c r="G45" s="10">
        <f>E45/77429</f>
        <v/>
      </c>
      <c r="H45" s="10">
        <f>H44+F45</f>
        <v/>
      </c>
    </row>
    <row r="46" ht="25" customHeight="1">
      <c r="A46" s="11" t="n">
        <v>42</v>
      </c>
      <c r="B46" s="12" t="inlineStr">
        <is>
          <t>أَلَا</t>
        </is>
      </c>
      <c r="C46" s="13" t="inlineStr">
        <is>
          <t>alā</t>
        </is>
      </c>
      <c r="D46" s="14" t="inlineStr">
        <is>
          <t>Inceptive Particle</t>
        </is>
      </c>
      <c r="E46" s="15" t="n">
        <v>18</v>
      </c>
      <c r="F46" s="16">
        <f>E46/$E$178</f>
        <v/>
      </c>
      <c r="G46" s="16">
        <f>E46/77429</f>
        <v/>
      </c>
      <c r="H46" s="16">
        <f>H45+F46</f>
        <v/>
      </c>
    </row>
    <row r="47" ht="25" customHeight="1">
      <c r="A47" s="5" t="n">
        <v>43</v>
      </c>
      <c r="B47" s="6" t="inlineStr">
        <is>
          <t>بَيْنَ</t>
        </is>
      </c>
      <c r="C47" s="7" t="inlineStr">
        <is>
          <t>bayna</t>
        </is>
      </c>
      <c r="D47" s="8" t="inlineStr">
        <is>
          <t>Location Adverb</t>
        </is>
      </c>
      <c r="E47" s="9" t="n">
        <v>18</v>
      </c>
      <c r="F47" s="10">
        <f>E47/$E$178</f>
        <v/>
      </c>
      <c r="G47" s="10">
        <f>E47/77429</f>
        <v/>
      </c>
      <c r="H47" s="10">
        <f>H46+F47</f>
        <v/>
      </c>
    </row>
    <row r="48" ht="25" customHeight="1">
      <c r="A48" s="11" t="n">
        <v>44</v>
      </c>
      <c r="B48" s="12" t="inlineStr">
        <is>
          <t>تَـ</t>
        </is>
      </c>
      <c r="C48" s="13" t="inlineStr">
        <is>
          <t>ta-</t>
        </is>
      </c>
      <c r="D48" s="14" t="inlineStr">
        <is>
          <t>Oath Prefix</t>
        </is>
      </c>
      <c r="E48" s="15" t="n">
        <v>18</v>
      </c>
      <c r="F48" s="16">
        <f>E48/$E$178</f>
        <v/>
      </c>
      <c r="G48" s="16">
        <f>E48/77429</f>
        <v/>
      </c>
      <c r="H48" s="16">
        <f>H47+F48</f>
        <v/>
      </c>
    </row>
    <row r="49" ht="25" customHeight="1">
      <c r="A49" s="5" t="n">
        <v>45</v>
      </c>
      <c r="B49" s="6" t="inlineStr">
        <is>
          <t>كَـ</t>
        </is>
      </c>
      <c r="C49" s="7" t="inlineStr">
        <is>
          <t>ka-</t>
        </is>
      </c>
      <c r="D49" s="8" t="inlineStr">
        <is>
          <t>Resemblance Prefix</t>
        </is>
      </c>
      <c r="E49" s="9" t="n">
        <v>18</v>
      </c>
      <c r="F49" s="10">
        <f>E49/$E$178</f>
        <v/>
      </c>
      <c r="G49" s="10">
        <f>E49/77429</f>
        <v/>
      </c>
      <c r="H49" s="10">
        <f>H48+F49</f>
        <v/>
      </c>
    </row>
    <row r="50" ht="25" customHeight="1">
      <c r="A50" s="11" t="n">
        <v>46</v>
      </c>
      <c r="B50" s="12" t="inlineStr">
        <is>
          <t>لِـ</t>
        </is>
      </c>
      <c r="C50" s="13" t="inlineStr">
        <is>
          <t>li-</t>
        </is>
      </c>
      <c r="D50" s="14" t="inlineStr">
        <is>
          <t>Preposition Prefix</t>
        </is>
      </c>
      <c r="E50" s="15" t="n">
        <v>18</v>
      </c>
      <c r="F50" s="16">
        <f>E50/$E$178</f>
        <v/>
      </c>
      <c r="G50" s="16">
        <f>E50/77429</f>
        <v/>
      </c>
      <c r="H50" s="16">
        <f>H49+F50</f>
        <v/>
      </c>
    </row>
    <row r="51" ht="25" customHeight="1">
      <c r="A51" s="5" t="n">
        <v>47</v>
      </c>
      <c r="B51" s="6" t="inlineStr">
        <is>
          <t>بِـ</t>
        </is>
      </c>
      <c r="C51" s="7" t="inlineStr">
        <is>
          <t>bi-</t>
        </is>
      </c>
      <c r="D51" s="8" t="inlineStr">
        <is>
          <t>Preposition Prefix</t>
        </is>
      </c>
      <c r="E51" s="9" t="n">
        <v>18</v>
      </c>
      <c r="F51" s="10">
        <f>E51/$E$178</f>
        <v/>
      </c>
      <c r="G51" s="10">
        <f>E51/77429</f>
        <v/>
      </c>
      <c r="H51" s="10">
        <f>H50+F51</f>
        <v/>
      </c>
    </row>
    <row r="52" ht="25" customHeight="1">
      <c r="A52" s="11" t="n">
        <v>48</v>
      </c>
      <c r="B52" s="12" t="inlineStr">
        <is>
          <t>وَ</t>
        </is>
      </c>
      <c r="C52" s="13" t="inlineStr">
        <is>
          <t>wa-</t>
        </is>
      </c>
      <c r="D52" s="14" t="inlineStr">
        <is>
          <t>Conjunction Prefix</t>
        </is>
      </c>
      <c r="E52" s="15" t="n">
        <v>8</v>
      </c>
      <c r="F52" s="16">
        <f>E52/$E$178</f>
        <v/>
      </c>
      <c r="G52" s="16">
        <f>E52/77429</f>
        <v/>
      </c>
      <c r="H52" s="16">
        <f>H51+F52</f>
        <v/>
      </c>
    </row>
    <row r="53" ht="25" customHeight="1">
      <c r="A53" s="5" t="n">
        <v>49</v>
      </c>
      <c r="B53" s="6" t="inlineStr">
        <is>
          <t>فَـ</t>
        </is>
      </c>
      <c r="C53" s="7" t="inlineStr">
        <is>
          <t>fa-</t>
        </is>
      </c>
      <c r="D53" s="8" t="inlineStr">
        <is>
          <t>Resumption Prefix</t>
        </is>
      </c>
      <c r="E53" s="9" t="n">
        <v>8</v>
      </c>
      <c r="F53" s="10">
        <f>E53/$E$178</f>
        <v/>
      </c>
      <c r="G53" s="10">
        <f>E53/77429</f>
        <v/>
      </c>
      <c r="H53" s="10">
        <f>H52+F53</f>
        <v/>
      </c>
    </row>
    <row r="54" ht="25" customHeight="1">
      <c r="A54" s="11" t="n">
        <v>50</v>
      </c>
      <c r="B54" s="12" t="inlineStr">
        <is>
          <t>سَـ</t>
        </is>
      </c>
      <c r="C54" s="13" t="inlineStr">
        <is>
          <t>sa-</t>
        </is>
      </c>
      <c r="D54" s="14" t="inlineStr">
        <is>
          <t>Future Prefix</t>
        </is>
      </c>
      <c r="E54" s="15" t="n">
        <v>8</v>
      </c>
      <c r="F54" s="16">
        <f>E54/$E$178</f>
        <v/>
      </c>
      <c r="G54" s="16">
        <f>E54/77429</f>
        <v/>
      </c>
      <c r="H54" s="16">
        <f>H53+F54</f>
        <v/>
      </c>
    </row>
    <row r="55" ht="25" customHeight="1">
      <c r="A55" s="5" t="n">
        <v>51</v>
      </c>
      <c r="B55" s="6" t="inlineStr">
        <is>
          <t>هِيَ</t>
        </is>
      </c>
      <c r="C55" s="7" t="inlineStr">
        <is>
          <t>hiya</t>
        </is>
      </c>
      <c r="D55" s="8" t="inlineStr">
        <is>
          <t>Personal Pronoun (3rd Fem. Sg.)</t>
        </is>
      </c>
      <c r="E55" s="9" t="n">
        <v>8</v>
      </c>
      <c r="F55" s="10">
        <f>E55/$E$178</f>
        <v/>
      </c>
      <c r="G55" s="10">
        <f>E55/77429</f>
        <v/>
      </c>
      <c r="H55" s="10">
        <f>H54+F55</f>
        <v/>
      </c>
    </row>
    <row r="56" ht="25" customHeight="1">
      <c r="A56" s="11" t="n">
        <v>52</v>
      </c>
      <c r="B56" s="12" t="inlineStr">
        <is>
          <t>هُنَّ</t>
        </is>
      </c>
      <c r="C56" s="13" t="inlineStr">
        <is>
          <t>hunna</t>
        </is>
      </c>
      <c r="D56" s="14" t="inlineStr">
        <is>
          <t>Personal Pronoun (3rd Fem. Pl.)</t>
        </is>
      </c>
      <c r="E56" s="15" t="n">
        <v>8</v>
      </c>
      <c r="F56" s="16">
        <f>E56/$E$178</f>
        <v/>
      </c>
      <c r="G56" s="16">
        <f>E56/77429</f>
        <v/>
      </c>
      <c r="H56" s="16">
        <f>H55+F56</f>
        <v/>
      </c>
    </row>
    <row r="57" ht="25" customHeight="1">
      <c r="A57" s="5" t="n">
        <v>53</v>
      </c>
      <c r="B57" s="6" t="inlineStr">
        <is>
          <t>هُمَا</t>
        </is>
      </c>
      <c r="C57" s="7" t="inlineStr">
        <is>
          <t>humā</t>
        </is>
      </c>
      <c r="D57" s="8" t="inlineStr">
        <is>
          <t>Personal Pronoun (3rd Dual)</t>
        </is>
      </c>
      <c r="E57" s="9" t="n">
        <v>8</v>
      </c>
      <c r="F57" s="10">
        <f>E57/$E$178</f>
        <v/>
      </c>
      <c r="G57" s="10">
        <f>E57/77429</f>
        <v/>
      </c>
      <c r="H57" s="10">
        <f>H56+F57</f>
        <v/>
      </c>
    </row>
    <row r="58" ht="25" customHeight="1">
      <c r="A58" s="11" t="n">
        <v>54</v>
      </c>
      <c r="B58" s="12" t="inlineStr">
        <is>
          <t>أَنْتَ</t>
        </is>
      </c>
      <c r="C58" s="13" t="inlineStr">
        <is>
          <t>anta</t>
        </is>
      </c>
      <c r="D58" s="14" t="inlineStr">
        <is>
          <t>Personal Pronoun (2nd Masc. Sg.)</t>
        </is>
      </c>
      <c r="E58" s="15" t="n">
        <v>8</v>
      </c>
      <c r="F58" s="16">
        <f>E58/$E$178</f>
        <v/>
      </c>
      <c r="G58" s="16">
        <f>E58/77429</f>
        <v/>
      </c>
      <c r="H58" s="16">
        <f>H57+F58</f>
        <v/>
      </c>
    </row>
    <row r="59" ht="25" customHeight="1">
      <c r="A59" s="5" t="n">
        <v>55</v>
      </c>
      <c r="B59" s="6" t="inlineStr">
        <is>
          <t>أَنْتُمْ</t>
        </is>
      </c>
      <c r="C59" s="7" t="inlineStr">
        <is>
          <t>antum</t>
        </is>
      </c>
      <c r="D59" s="8" t="inlineStr">
        <is>
          <t>Personal Pronoun (2nd Masc. Pl.)</t>
        </is>
      </c>
      <c r="E59" s="9" t="n">
        <v>8</v>
      </c>
      <c r="F59" s="10">
        <f>E59/$E$178</f>
        <v/>
      </c>
      <c r="G59" s="10">
        <f>E59/77429</f>
        <v/>
      </c>
      <c r="H59" s="10">
        <f>H58+F59</f>
        <v/>
      </c>
    </row>
    <row r="60" ht="25" customHeight="1">
      <c r="A60" s="11" t="n">
        <v>56</v>
      </c>
      <c r="B60" s="12" t="inlineStr">
        <is>
          <t>أَنْتُنَّ</t>
        </is>
      </c>
      <c r="C60" s="13" t="inlineStr">
        <is>
          <t>antunna</t>
        </is>
      </c>
      <c r="D60" s="14" t="inlineStr">
        <is>
          <t>Personal Pronoun (2nd Fem. Pl.)</t>
        </is>
      </c>
      <c r="E60" s="15" t="n">
        <v>8</v>
      </c>
      <c r="F60" s="16">
        <f>E60/$E$178</f>
        <v/>
      </c>
      <c r="G60" s="16">
        <f>E60/77429</f>
        <v/>
      </c>
      <c r="H60" s="16">
        <f>H59+F60</f>
        <v/>
      </c>
    </row>
    <row r="61" ht="25" customHeight="1">
      <c r="A61" s="5" t="n">
        <v>57</v>
      </c>
      <c r="B61" s="6" t="inlineStr">
        <is>
          <t>أَنَا</t>
        </is>
      </c>
      <c r="C61" s="7" t="inlineStr">
        <is>
          <t>anā</t>
        </is>
      </c>
      <c r="D61" s="8" t="inlineStr">
        <is>
          <t>Personal Pronoun (1st Sg.)</t>
        </is>
      </c>
      <c r="E61" s="9" t="n">
        <v>8</v>
      </c>
      <c r="F61" s="10">
        <f>E61/$E$178</f>
        <v/>
      </c>
      <c r="G61" s="10">
        <f>E61/77429</f>
        <v/>
      </c>
      <c r="H61" s="10">
        <f>H60+F61</f>
        <v/>
      </c>
    </row>
    <row r="62" ht="25" customHeight="1">
      <c r="A62" s="11" t="n">
        <v>58</v>
      </c>
      <c r="B62" s="12" t="inlineStr">
        <is>
          <t>نَحْنُ</t>
        </is>
      </c>
      <c r="C62" s="13" t="inlineStr">
        <is>
          <t>naḥnu</t>
        </is>
      </c>
      <c r="D62" s="14" t="inlineStr">
        <is>
          <t>Personal Pronoun (1st Pl.)</t>
        </is>
      </c>
      <c r="E62" s="15" t="n">
        <v>8</v>
      </c>
      <c r="F62" s="16">
        <f>E62/$E$178</f>
        <v/>
      </c>
      <c r="G62" s="16">
        <f>E62/77429</f>
        <v/>
      </c>
      <c r="H62" s="16">
        <f>H61+F62</f>
        <v/>
      </c>
    </row>
    <row r="63" ht="25" customHeight="1">
      <c r="A63" s="5" t="n">
        <v>59</v>
      </c>
      <c r="B63" s="6" t="inlineStr">
        <is>
          <t>هَٰذِهِ</t>
        </is>
      </c>
      <c r="C63" s="7" t="inlineStr">
        <is>
          <t>hādhī</t>
        </is>
      </c>
      <c r="D63" s="8" t="inlineStr">
        <is>
          <t>Demonstrative Pronoun (Fem. Sg.)</t>
        </is>
      </c>
      <c r="E63" s="9" t="n">
        <v>8</v>
      </c>
      <c r="F63" s="10">
        <f>E63/$E$178</f>
        <v/>
      </c>
      <c r="G63" s="10">
        <f>E63/77429</f>
        <v/>
      </c>
      <c r="H63" s="10">
        <f>H62+F63</f>
        <v/>
      </c>
    </row>
    <row r="64" ht="25" customHeight="1">
      <c r="A64" s="11" t="n">
        <v>60</v>
      </c>
      <c r="B64" s="12" t="inlineStr">
        <is>
          <t>هَٰؤُلَاءِ</t>
        </is>
      </c>
      <c r="C64" s="13" t="inlineStr">
        <is>
          <t>hāʾulāʾi</t>
        </is>
      </c>
      <c r="D64" s="14" t="inlineStr">
        <is>
          <t>Demonstrative Pronoun (Plural)</t>
        </is>
      </c>
      <c r="E64" s="15" t="n">
        <v>8</v>
      </c>
      <c r="F64" s="16">
        <f>E64/$E$178</f>
        <v/>
      </c>
      <c r="G64" s="16">
        <f>E64/77429</f>
        <v/>
      </c>
      <c r="H64" s="16">
        <f>H63+F64</f>
        <v/>
      </c>
    </row>
    <row r="65" ht="25" customHeight="1">
      <c r="A65" s="5" t="n">
        <v>61</v>
      </c>
      <c r="B65" s="6" t="inlineStr">
        <is>
          <t>تِلْكَ</t>
        </is>
      </c>
      <c r="C65" s="7" t="inlineStr">
        <is>
          <t>tilka</t>
        </is>
      </c>
      <c r="D65" s="8" t="inlineStr">
        <is>
          <t>Demonstrative Pronoun (Fem. Sg.)</t>
        </is>
      </c>
      <c r="E65" s="9" t="n">
        <v>8</v>
      </c>
      <c r="F65" s="10">
        <f>E65/$E$178</f>
        <v/>
      </c>
      <c r="G65" s="10">
        <f>E65/77429</f>
        <v/>
      </c>
      <c r="H65" s="10">
        <f>H64+F65</f>
        <v/>
      </c>
    </row>
    <row r="66" ht="25" customHeight="1">
      <c r="A66" s="11" t="n">
        <v>62</v>
      </c>
      <c r="B66" s="12" t="inlineStr">
        <is>
          <t>ذَٰلِكُمْ</t>
        </is>
      </c>
      <c r="C66" s="13" t="inlineStr">
        <is>
          <t>dhālikum</t>
        </is>
      </c>
      <c r="D66" s="14" t="inlineStr">
        <is>
          <t>Demonstrative Pronoun (Masc. Pl.)</t>
        </is>
      </c>
      <c r="E66" s="15" t="n">
        <v>8</v>
      </c>
      <c r="F66" s="16">
        <f>E66/$E$178</f>
        <v/>
      </c>
      <c r="G66" s="16">
        <f>E66/77429</f>
        <v/>
      </c>
      <c r="H66" s="16">
        <f>H65+F66</f>
        <v/>
      </c>
    </row>
    <row r="67" ht="25" customHeight="1">
      <c r="A67" s="5" t="n">
        <v>63</v>
      </c>
      <c r="B67" s="6" t="inlineStr">
        <is>
          <t>الَّذِينَ</t>
        </is>
      </c>
      <c r="C67" s="7" t="inlineStr">
        <is>
          <t>alladhīna</t>
        </is>
      </c>
      <c r="D67" s="8" t="inlineStr">
        <is>
          <t>Relative Pronoun (Masc. Pl.)</t>
        </is>
      </c>
      <c r="E67" s="9" t="n">
        <v>8</v>
      </c>
      <c r="F67" s="10">
        <f>E67/$E$178</f>
        <v/>
      </c>
      <c r="G67" s="10">
        <f>E67/77429</f>
        <v/>
      </c>
      <c r="H67" s="10">
        <f>H66+F67</f>
        <v/>
      </c>
    </row>
    <row r="68" ht="25" customHeight="1">
      <c r="A68" s="11" t="n">
        <v>64</v>
      </c>
      <c r="B68" s="12" t="inlineStr">
        <is>
          <t>الَّتِي</t>
        </is>
      </c>
      <c r="C68" s="13" t="inlineStr">
        <is>
          <t>allatī</t>
        </is>
      </c>
      <c r="D68" s="14" t="inlineStr">
        <is>
          <t>Relative Pronoun (Fem. Sg.)</t>
        </is>
      </c>
      <c r="E68" s="15" t="n">
        <v>8</v>
      </c>
      <c r="F68" s="16">
        <f>E68/$E$178</f>
        <v/>
      </c>
      <c r="G68" s="16">
        <f>E68/77429</f>
        <v/>
      </c>
      <c r="H68" s="16">
        <f>H67+F68</f>
        <v/>
      </c>
    </row>
    <row r="69" ht="25" customHeight="1">
      <c r="A69" s="5" t="n">
        <v>65</v>
      </c>
      <c r="B69" s="6" t="inlineStr">
        <is>
          <t>مَتَىٰ</t>
        </is>
      </c>
      <c r="C69" s="7" t="inlineStr">
        <is>
          <t>matā</t>
        </is>
      </c>
      <c r="D69" s="8" t="inlineStr">
        <is>
          <t>Interrogative Adverb</t>
        </is>
      </c>
      <c r="E69" s="9" t="n">
        <v>8</v>
      </c>
      <c r="F69" s="10">
        <f>E69/$E$178</f>
        <v/>
      </c>
      <c r="G69" s="10">
        <f>E69/77429</f>
        <v/>
      </c>
      <c r="H69" s="10">
        <f>H68+F69</f>
        <v/>
      </c>
    </row>
    <row r="70" ht="25" customHeight="1">
      <c r="A70" s="11" t="n">
        <v>66</v>
      </c>
      <c r="B70" s="12" t="inlineStr">
        <is>
          <t>أَيَّانَ</t>
        </is>
      </c>
      <c r="C70" s="13" t="inlineStr">
        <is>
          <t>ayyāna</t>
        </is>
      </c>
      <c r="D70" s="14" t="inlineStr">
        <is>
          <t>Interrogative Adverb</t>
        </is>
      </c>
      <c r="E70" s="15" t="n">
        <v>8</v>
      </c>
      <c r="F70" s="16">
        <f>E70/$E$178</f>
        <v/>
      </c>
      <c r="G70" s="16">
        <f>E70/77429</f>
        <v/>
      </c>
      <c r="H70" s="16">
        <f>H69+F70</f>
        <v/>
      </c>
    </row>
    <row r="71" ht="25" customHeight="1">
      <c r="A71" s="5" t="n">
        <v>67</v>
      </c>
      <c r="B71" s="6" t="inlineStr">
        <is>
          <t>أَيْنَ</t>
        </is>
      </c>
      <c r="C71" s="7" t="inlineStr">
        <is>
          <t>ayna</t>
        </is>
      </c>
      <c r="D71" s="8" t="inlineStr">
        <is>
          <t>Interrogative Adverb</t>
        </is>
      </c>
      <c r="E71" s="9" t="n">
        <v>8</v>
      </c>
      <c r="F71" s="10">
        <f>E71/$E$178</f>
        <v/>
      </c>
      <c r="G71" s="10">
        <f>E71/77429</f>
        <v/>
      </c>
      <c r="H71" s="10">
        <f>H70+F71</f>
        <v/>
      </c>
    </row>
    <row r="72" ht="25" customHeight="1">
      <c r="A72" s="11" t="n">
        <v>68</v>
      </c>
      <c r="B72" s="12" t="inlineStr">
        <is>
          <t>أَنَّىٰ</t>
        </is>
      </c>
      <c r="C72" s="13" t="inlineStr">
        <is>
          <t>annā</t>
        </is>
      </c>
      <c r="D72" s="14" t="inlineStr">
        <is>
          <t>Interrogative Adverb</t>
        </is>
      </c>
      <c r="E72" s="15" t="n">
        <v>8</v>
      </c>
      <c r="F72" s="16">
        <f>E72/$E$178</f>
        <v/>
      </c>
      <c r="G72" s="16">
        <f>E72/77429</f>
        <v/>
      </c>
      <c r="H72" s="16">
        <f>H71+F72</f>
        <v/>
      </c>
    </row>
    <row r="73" ht="25" customHeight="1">
      <c r="A73" s="5" t="n">
        <v>69</v>
      </c>
      <c r="B73" s="6" t="inlineStr">
        <is>
          <t>حَيْثُ</t>
        </is>
      </c>
      <c r="C73" s="7" t="inlineStr">
        <is>
          <t>ḥaythu</t>
        </is>
      </c>
      <c r="D73" s="8" t="inlineStr">
        <is>
          <t>Location Adverb</t>
        </is>
      </c>
      <c r="E73" s="9" t="n">
        <v>8</v>
      </c>
      <c r="F73" s="10">
        <f>E73/$E$178</f>
        <v/>
      </c>
      <c r="G73" s="10">
        <f>E73/77429</f>
        <v/>
      </c>
      <c r="H73" s="10">
        <f>H72+F73</f>
        <v/>
      </c>
    </row>
    <row r="74" ht="25" customHeight="1">
      <c r="A74" s="11" t="n">
        <v>70</v>
      </c>
      <c r="B74" s="12" t="inlineStr">
        <is>
          <t>الآنَ</t>
        </is>
      </c>
      <c r="C74" s="13" t="inlineStr">
        <is>
          <t>al-āna</t>
        </is>
      </c>
      <c r="D74" s="14" t="inlineStr">
        <is>
          <t>Time Adverb</t>
        </is>
      </c>
      <c r="E74" s="15" t="n">
        <v>8</v>
      </c>
      <c r="F74" s="16">
        <f>E74/$E$178</f>
        <v/>
      </c>
      <c r="G74" s="16">
        <f>E74/77429</f>
        <v/>
      </c>
      <c r="H74" s="16">
        <f>H73+F74</f>
        <v/>
      </c>
    </row>
    <row r="75" ht="25" customHeight="1">
      <c r="A75" s="5" t="n">
        <v>71</v>
      </c>
      <c r="B75" s="6" t="inlineStr">
        <is>
          <t>لَدُنْ</t>
        </is>
      </c>
      <c r="C75" s="7" t="inlineStr">
        <is>
          <t>ladun</t>
        </is>
      </c>
      <c r="D75" s="8" t="inlineStr">
        <is>
          <t>Location Adverb</t>
        </is>
      </c>
      <c r="E75" s="9" t="n">
        <v>8</v>
      </c>
      <c r="F75" s="10">
        <f>E75/$E$178</f>
        <v/>
      </c>
      <c r="G75" s="10">
        <f>E75/77429</f>
        <v/>
      </c>
      <c r="H75" s="10">
        <f>H74+F75</f>
        <v/>
      </c>
    </row>
    <row r="76" ht="25" customHeight="1">
      <c r="A76" s="11" t="n">
        <v>72</v>
      </c>
      <c r="B76" s="12" t="inlineStr">
        <is>
          <t>عَسَىٰ</t>
        </is>
      </c>
      <c r="C76" s="13" t="inlineStr">
        <is>
          <t>ʿasā</t>
        </is>
      </c>
      <c r="D76" s="14" t="inlineStr">
        <is>
          <t>Hope Verbal Particle</t>
        </is>
      </c>
      <c r="E76" s="15" t="n">
        <v>8</v>
      </c>
      <c r="F76" s="16">
        <f>E76/$E$178</f>
        <v/>
      </c>
      <c r="G76" s="16">
        <f>E76/77429</f>
        <v/>
      </c>
      <c r="H76" s="16">
        <f>H75+F76</f>
        <v/>
      </c>
    </row>
    <row r="77" ht="25" customHeight="1">
      <c r="A77" s="5" t="n">
        <v>73</v>
      </c>
      <c r="B77" s="6" t="inlineStr">
        <is>
          <t>لَاتَ</t>
        </is>
      </c>
      <c r="C77" s="7" t="inlineStr">
        <is>
          <t>lāta</t>
        </is>
      </c>
      <c r="D77" s="8" t="inlineStr">
        <is>
          <t>Negation Particle</t>
        </is>
      </c>
      <c r="E77" s="9" t="n">
        <v>8</v>
      </c>
      <c r="F77" s="10">
        <f>E77/$E$178</f>
        <v/>
      </c>
      <c r="G77" s="10">
        <f>E77/77429</f>
        <v/>
      </c>
      <c r="H77" s="10">
        <f>H76+F77</f>
        <v/>
      </c>
    </row>
    <row r="78" ht="25" customHeight="1">
      <c r="A78" s="11" t="n">
        <v>74</v>
      </c>
      <c r="B78" s="12" t="inlineStr">
        <is>
          <t>لَمَّا</t>
        </is>
      </c>
      <c r="C78" s="13" t="inlineStr">
        <is>
          <t>lammā</t>
        </is>
      </c>
      <c r="D78" s="14" t="inlineStr">
        <is>
          <t>Conditional Time / Jussive</t>
        </is>
      </c>
      <c r="E78" s="15" t="n">
        <v>8</v>
      </c>
      <c r="F78" s="16">
        <f>E78/$E$178</f>
        <v/>
      </c>
      <c r="G78" s="16">
        <f>E78/77429</f>
        <v/>
      </c>
      <c r="H78" s="16">
        <f>H77+F78</f>
        <v/>
      </c>
    </row>
    <row r="79" ht="25" customHeight="1">
      <c r="A79" s="5" t="n">
        <v>75</v>
      </c>
      <c r="B79" s="6" t="inlineStr">
        <is>
          <t>خَلَا</t>
        </is>
      </c>
      <c r="C79" s="7" t="inlineStr">
        <is>
          <t>khalā</t>
        </is>
      </c>
      <c r="D79" s="8" t="inlineStr">
        <is>
          <t>Exceptive Particle</t>
        </is>
      </c>
      <c r="E79" s="9" t="n">
        <v>8</v>
      </c>
      <c r="F79" s="10">
        <f>E79/$E$178</f>
        <v/>
      </c>
      <c r="G79" s="10">
        <f>E79/77429</f>
        <v/>
      </c>
      <c r="H79" s="10">
        <f>H78+F79</f>
        <v/>
      </c>
    </row>
    <row r="80" ht="25" customHeight="1">
      <c r="A80" s="11" t="n">
        <v>76</v>
      </c>
      <c r="B80" s="12" t="inlineStr">
        <is>
          <t>عَدَا</t>
        </is>
      </c>
      <c r="C80" s="13" t="inlineStr">
        <is>
          <t>ʿadā</t>
        </is>
      </c>
      <c r="D80" s="14" t="inlineStr">
        <is>
          <t>Exceptive Particle</t>
        </is>
      </c>
      <c r="E80" s="15" t="n">
        <v>8</v>
      </c>
      <c r="F80" s="16">
        <f>E80/$E$178</f>
        <v/>
      </c>
      <c r="G80" s="16">
        <f>E80/77429</f>
        <v/>
      </c>
      <c r="H80" s="16">
        <f>H79+F80</f>
        <v/>
      </c>
    </row>
    <row r="81" ht="25" customHeight="1">
      <c r="A81" s="5" t="n">
        <v>77</v>
      </c>
      <c r="B81" s="6" t="inlineStr">
        <is>
          <t>حَاشَا</t>
        </is>
      </c>
      <c r="C81" s="7" t="inlineStr">
        <is>
          <t>ḥāshā</t>
        </is>
      </c>
      <c r="D81" s="8" t="inlineStr">
        <is>
          <t>Exceptive Particle</t>
        </is>
      </c>
      <c r="E81" s="9" t="n">
        <v>8</v>
      </c>
      <c r="F81" s="10">
        <f>E81/$E$178</f>
        <v/>
      </c>
      <c r="G81" s="10">
        <f>E81/77429</f>
        <v/>
      </c>
      <c r="H81" s="10">
        <f>H80+F81</f>
        <v/>
      </c>
    </row>
    <row r="82" ht="25" customHeight="1">
      <c r="A82" s="11" t="n">
        <v>78</v>
      </c>
      <c r="B82" s="12" t="inlineStr">
        <is>
          <t>كَأَيِّنْ</t>
        </is>
      </c>
      <c r="C82" s="13" t="inlineStr">
        <is>
          <t>ka-ayyin</t>
        </is>
      </c>
      <c r="D82" s="14" t="inlineStr">
        <is>
          <t>Interrogative Multiplier</t>
        </is>
      </c>
      <c r="E82" s="15" t="n">
        <v>8</v>
      </c>
      <c r="F82" s="16">
        <f>E82/$E$178</f>
        <v/>
      </c>
      <c r="G82" s="16">
        <f>E82/77429</f>
        <v/>
      </c>
      <c r="H82" s="16">
        <f>H81+F82</f>
        <v/>
      </c>
    </row>
    <row r="83" ht="25" customHeight="1">
      <c r="A83" s="5" t="n">
        <v>79</v>
      </c>
      <c r="B83" s="6" t="inlineStr">
        <is>
          <t>كَذَٰلِكَ</t>
        </is>
      </c>
      <c r="C83" s="7" t="inlineStr">
        <is>
          <t>kadhālika</t>
        </is>
      </c>
      <c r="D83" s="8" t="inlineStr">
        <is>
          <t>Exemplary Particle</t>
        </is>
      </c>
      <c r="E83" s="9" t="n">
        <v>8</v>
      </c>
      <c r="F83" s="10">
        <f>E83/$E$178</f>
        <v/>
      </c>
      <c r="G83" s="10">
        <f>E83/77429</f>
        <v/>
      </c>
      <c r="H83" s="10">
        <f>H82+F83</f>
        <v/>
      </c>
    </row>
    <row r="84" ht="25" customHeight="1">
      <c r="A84" s="11" t="n">
        <v>80</v>
      </c>
      <c r="B84" s="12" t="inlineStr">
        <is>
          <t>هُنَالِكَ</t>
        </is>
      </c>
      <c r="C84" s="13" t="inlineStr">
        <is>
          <t>hunālika</t>
        </is>
      </c>
      <c r="D84" s="14" t="inlineStr">
        <is>
          <t>Location Demonstrative</t>
        </is>
      </c>
      <c r="E84" s="15" t="n">
        <v>8</v>
      </c>
      <c r="F84" s="16">
        <f>E84/$E$178</f>
        <v/>
      </c>
      <c r="G84" s="16">
        <f>E84/77429</f>
        <v/>
      </c>
      <c r="H84" s="16">
        <f>H83+F84</f>
        <v/>
      </c>
    </row>
    <row r="85" ht="25" customHeight="1">
      <c r="A85" s="5" t="n">
        <v>81</v>
      </c>
      <c r="B85" s="6" t="inlineStr">
        <is>
          <t>ثَمَّ</t>
        </is>
      </c>
      <c r="C85" s="7" t="inlineStr">
        <is>
          <t>thamma</t>
        </is>
      </c>
      <c r="D85" s="8" t="inlineStr">
        <is>
          <t>Location Demonstrative</t>
        </is>
      </c>
      <c r="E85" s="9" t="n">
        <v>8</v>
      </c>
      <c r="F85" s="10">
        <f>E85/$E$178</f>
        <v/>
      </c>
      <c r="G85" s="10">
        <f>E85/77429</f>
        <v/>
      </c>
      <c r="H85" s="10">
        <f>H84+F85</f>
        <v/>
      </c>
    </row>
    <row r="86" ht="25" customHeight="1">
      <c r="A86" s="11" t="n">
        <v>82</v>
      </c>
      <c r="B86" s="12" t="inlineStr">
        <is>
          <t>نِعْمَ</t>
        </is>
      </c>
      <c r="C86" s="13" t="inlineStr">
        <is>
          <t>niʿma</t>
        </is>
      </c>
      <c r="D86" s="14" t="inlineStr">
        <is>
          <t>Praise Particle</t>
        </is>
      </c>
      <c r="E86" s="15" t="n">
        <v>8</v>
      </c>
      <c r="F86" s="16">
        <f>E86/$E$178</f>
        <v/>
      </c>
      <c r="G86" s="16">
        <f>E86/77429</f>
        <v/>
      </c>
      <c r="H86" s="16">
        <f>H85+F86</f>
        <v/>
      </c>
    </row>
    <row r="87" ht="25" customHeight="1">
      <c r="A87" s="5" t="n">
        <v>83</v>
      </c>
      <c r="B87" s="6" t="inlineStr">
        <is>
          <t>بِئْسَ</t>
        </is>
      </c>
      <c r="C87" s="7" t="inlineStr">
        <is>
          <t>biʾsa</t>
        </is>
      </c>
      <c r="D87" s="8" t="inlineStr">
        <is>
          <t>Dispraise Particle</t>
        </is>
      </c>
      <c r="E87" s="9" t="n">
        <v>4</v>
      </c>
      <c r="F87" s="10">
        <f>E87/$E$178</f>
        <v/>
      </c>
      <c r="G87" s="10">
        <f>E87/77429</f>
        <v/>
      </c>
      <c r="H87" s="10">
        <f>H86+F87</f>
        <v/>
      </c>
    </row>
    <row r="88" ht="25" customHeight="1">
      <c r="A88" s="11" t="n">
        <v>84</v>
      </c>
      <c r="B88" s="12" t="inlineStr">
        <is>
          <t>وَيْلَ</t>
        </is>
      </c>
      <c r="C88" s="13" t="inlineStr">
        <is>
          <t>wayla</t>
        </is>
      </c>
      <c r="D88" s="14" t="inlineStr">
        <is>
          <t>Woe Particle</t>
        </is>
      </c>
      <c r="E88" s="15" t="n">
        <v>4</v>
      </c>
      <c r="F88" s="16">
        <f>E88/$E$178</f>
        <v/>
      </c>
      <c r="G88" s="16">
        <f>E88/77429</f>
        <v/>
      </c>
      <c r="H88" s="16">
        <f>H87+F88</f>
        <v/>
      </c>
    </row>
    <row r="89" ht="25" customHeight="1">
      <c r="A89" s="5" t="n">
        <v>85</v>
      </c>
      <c r="B89" s="6" t="inlineStr">
        <is>
          <t>إِذَا</t>
        </is>
      </c>
      <c r="C89" s="7" t="inlineStr">
        <is>
          <t>idhā</t>
        </is>
      </c>
      <c r="D89" s="8" t="inlineStr">
        <is>
          <t>Time Adverb / Condition</t>
        </is>
      </c>
      <c r="E89" s="9" t="n">
        <v>409</v>
      </c>
      <c r="F89" s="10">
        <f>E89/$E$178</f>
        <v/>
      </c>
      <c r="G89" s="10">
        <f>E89/77429</f>
        <v/>
      </c>
      <c r="H89" s="10">
        <f>H88+F89</f>
        <v/>
      </c>
    </row>
    <row r="90" ht="25" customHeight="1">
      <c r="A90" s="11" t="n">
        <v>86</v>
      </c>
      <c r="B90" s="12" t="inlineStr">
        <is>
          <t>كَيْفَ</t>
        </is>
      </c>
      <c r="C90" s="13" t="inlineStr">
        <is>
          <t>kayfa</t>
        </is>
      </c>
      <c r="D90" s="14" t="inlineStr">
        <is>
          <t>Interrogative Adverb</t>
        </is>
      </c>
      <c r="E90" s="15" t="n">
        <v>80</v>
      </c>
      <c r="F90" s="16">
        <f>E90/$E$178</f>
        <v/>
      </c>
      <c r="G90" s="16">
        <f>E90/77429</f>
        <v/>
      </c>
      <c r="H90" s="16">
        <f>H89+F90</f>
        <v/>
      </c>
    </row>
    <row r="91" ht="25" customHeight="1">
      <c r="A91" s="5" t="n">
        <v>87</v>
      </c>
      <c r="B91" s="6" t="inlineStr">
        <is>
          <t>أَمَّا</t>
        </is>
      </c>
      <c r="C91" s="7" t="inlineStr">
        <is>
          <t>ammā</t>
        </is>
      </c>
      <c r="D91" s="8" t="inlineStr">
        <is>
          <t>Explanatory Particle</t>
        </is>
      </c>
      <c r="E91" s="9" t="n">
        <v>93</v>
      </c>
      <c r="F91" s="10">
        <f>E91/$E$178</f>
        <v/>
      </c>
      <c r="G91" s="10">
        <f>E91/77429</f>
        <v/>
      </c>
      <c r="H91" s="10">
        <f>H90+F91</f>
        <v/>
      </c>
    </row>
    <row r="92" ht="25" customHeight="1">
      <c r="A92" s="11" t="n">
        <v>88</v>
      </c>
      <c r="B92" s="12" t="inlineStr">
        <is>
          <t>إِمَّا</t>
        </is>
      </c>
      <c r="C92" s="13" t="inlineStr">
        <is>
          <t>immā</t>
        </is>
      </c>
      <c r="D92" s="14" t="inlineStr">
        <is>
          <t>Conditional / Either</t>
        </is>
      </c>
      <c r="E92" s="15" t="n">
        <v>142</v>
      </c>
      <c r="F92" s="16">
        <f>E92/$E$178</f>
        <v/>
      </c>
      <c r="G92" s="16">
        <f>E92/77429</f>
        <v/>
      </c>
      <c r="H92" s="16">
        <f>H91+F92</f>
        <v/>
      </c>
    </row>
    <row r="93" ht="25" customHeight="1">
      <c r="A93" s="5" t="n">
        <v>89</v>
      </c>
      <c r="B93" s="6" t="inlineStr">
        <is>
          <t>لَوْلَا</t>
        </is>
      </c>
      <c r="C93" s="7" t="inlineStr">
        <is>
          <t>lawlā</t>
        </is>
      </c>
      <c r="D93" s="8" t="inlineStr">
        <is>
          <t>Exhortation / Had it not been</t>
        </is>
      </c>
      <c r="E93" s="9" t="n">
        <v>75</v>
      </c>
      <c r="F93" s="10">
        <f>E93/$E$178</f>
        <v/>
      </c>
      <c r="G93" s="10">
        <f>E93/77429</f>
        <v/>
      </c>
      <c r="H93" s="10">
        <f>H92+F93</f>
        <v/>
      </c>
    </row>
    <row r="94" ht="25" customHeight="1">
      <c r="A94" s="11" t="n">
        <v>90</v>
      </c>
      <c r="B94" s="12" t="inlineStr">
        <is>
          <t>إِذًا</t>
        </is>
      </c>
      <c r="C94" s="13" t="inlineStr">
        <is>
          <t>idhan</t>
        </is>
      </c>
      <c r="D94" s="14" t="inlineStr">
        <is>
          <t>Result / In that case</t>
        </is>
      </c>
      <c r="E94" s="15" t="n">
        <v>31</v>
      </c>
      <c r="F94" s="16">
        <f>E94/$E$178</f>
        <v/>
      </c>
      <c r="G94" s="16">
        <f>E94/77429</f>
        <v/>
      </c>
      <c r="H94" s="16">
        <f>H93+F94</f>
        <v/>
      </c>
    </row>
    <row r="95" ht="25" customHeight="1">
      <c r="A95" s="5" t="n">
        <v>91</v>
      </c>
      <c r="B95" s="6" t="inlineStr">
        <is>
          <t>مَاذَا</t>
        </is>
      </c>
      <c r="C95" s="7" t="inlineStr">
        <is>
          <t>mādhā</t>
        </is>
      </c>
      <c r="D95" s="8" t="inlineStr">
        <is>
          <t>Interrogative Pronoun</t>
        </is>
      </c>
      <c r="E95" s="9" t="n">
        <v>26</v>
      </c>
      <c r="F95" s="10">
        <f>E95/$E$178</f>
        <v/>
      </c>
      <c r="G95" s="10">
        <f>E95/77429</f>
        <v/>
      </c>
      <c r="H95" s="10">
        <f>H94+F95</f>
        <v/>
      </c>
    </row>
    <row r="96" ht="25" customHeight="1">
      <c r="A96" s="11" t="n">
        <v>92</v>
      </c>
      <c r="B96" s="12" t="inlineStr">
        <is>
          <t>مَهْمَا</t>
        </is>
      </c>
      <c r="C96" s="13" t="inlineStr">
        <is>
          <t>mahmā</t>
        </is>
      </c>
      <c r="D96" s="14" t="inlineStr">
        <is>
          <t>Conditional Particle</t>
        </is>
      </c>
      <c r="E96" s="15" t="n">
        <v>1</v>
      </c>
      <c r="F96" s="16">
        <f>E96/$E$178</f>
        <v/>
      </c>
      <c r="G96" s="16">
        <f>E96/77429</f>
        <v/>
      </c>
      <c r="H96" s="16">
        <f>H95+F96</f>
        <v/>
      </c>
    </row>
    <row r="97" ht="25" customHeight="1">
      <c r="A97" s="5" t="n">
        <v>93</v>
      </c>
      <c r="B97" s="6" t="inlineStr">
        <is>
          <t>حَيْثُمَا</t>
        </is>
      </c>
      <c r="C97" s="7" t="inlineStr">
        <is>
          <t>ḥaythumā</t>
        </is>
      </c>
      <c r="D97" s="8" t="inlineStr">
        <is>
          <t>Location Conditional</t>
        </is>
      </c>
      <c r="E97" s="9" t="n">
        <v>2</v>
      </c>
      <c r="F97" s="10">
        <f>E97/$E$178</f>
        <v/>
      </c>
      <c r="G97" s="10">
        <f>E97/77429</f>
        <v/>
      </c>
      <c r="H97" s="10">
        <f>H96+F97</f>
        <v/>
      </c>
    </row>
    <row r="98" ht="25" customHeight="1">
      <c r="A98" s="11" t="n">
        <v>94</v>
      </c>
      <c r="B98" s="12" t="inlineStr">
        <is>
          <t>أَيْنَمَا</t>
        </is>
      </c>
      <c r="C98" s="13" t="inlineStr">
        <is>
          <t>aynamā</t>
        </is>
      </c>
      <c r="D98" s="14" t="inlineStr">
        <is>
          <t>Location Conditional</t>
        </is>
      </c>
      <c r="E98" s="15" t="n">
        <v>12</v>
      </c>
      <c r="F98" s="16">
        <f>E98/$E$178</f>
        <v/>
      </c>
      <c r="G98" s="16">
        <f>E98/77429</f>
        <v/>
      </c>
      <c r="H98" s="16">
        <f>H97+F98</f>
        <v/>
      </c>
    </row>
    <row r="99" ht="25" customHeight="1">
      <c r="A99" s="5" t="n">
        <v>95</v>
      </c>
      <c r="B99" s="6" t="inlineStr">
        <is>
          <t>أَنَّمَا</t>
        </is>
      </c>
      <c r="C99" s="7" t="inlineStr">
        <is>
          <t>annamā</t>
        </is>
      </c>
      <c r="D99" s="8" t="inlineStr">
        <is>
          <t>Restrictive Particle</t>
        </is>
      </c>
      <c r="E99" s="9" t="n">
        <v>34</v>
      </c>
      <c r="F99" s="10">
        <f>E99/$E$178</f>
        <v/>
      </c>
      <c r="G99" s="10">
        <f>E99/77429</f>
        <v/>
      </c>
      <c r="H99" s="10">
        <f>H98+F99</f>
        <v/>
      </c>
    </row>
    <row r="100" ht="25" customHeight="1">
      <c r="A100" s="11" t="n">
        <v>96</v>
      </c>
      <c r="B100" s="12" t="inlineStr">
        <is>
          <t>إِنَّمَا</t>
        </is>
      </c>
      <c r="C100" s="13" t="inlineStr">
        <is>
          <t>innamā</t>
        </is>
      </c>
      <c r="D100" s="14" t="inlineStr">
        <is>
          <t>Restriction (Ḥarf Ḥaṣr)</t>
        </is>
      </c>
      <c r="E100" s="15" t="n">
        <v>149</v>
      </c>
      <c r="F100" s="16">
        <f>E100/$E$178</f>
        <v/>
      </c>
      <c r="G100" s="16">
        <f>E100/77429</f>
        <v/>
      </c>
      <c r="H100" s="16">
        <f>H99+F100</f>
        <v/>
      </c>
    </row>
    <row r="101" ht="25" customHeight="1">
      <c r="A101" s="5" t="n">
        <v>97</v>
      </c>
      <c r="B101" s="6" t="inlineStr">
        <is>
          <t>كُلَّمَا</t>
        </is>
      </c>
      <c r="C101" s="7" t="inlineStr">
        <is>
          <t>kullamā</t>
        </is>
      </c>
      <c r="D101" s="8" t="inlineStr">
        <is>
          <t>Time / Frequency Adverb</t>
        </is>
      </c>
      <c r="E101" s="9" t="n">
        <v>16</v>
      </c>
      <c r="F101" s="10">
        <f>E101/$E$178</f>
        <v/>
      </c>
      <c r="G101" s="10">
        <f>E101/77429</f>
        <v/>
      </c>
      <c r="H101" s="10">
        <f>H100+F101</f>
        <v/>
      </c>
    </row>
    <row r="102" ht="25" customHeight="1">
      <c r="A102" s="11" t="n">
        <v>98</v>
      </c>
      <c r="B102" s="12" t="inlineStr">
        <is>
          <t>كَيْ</t>
        </is>
      </c>
      <c r="C102" s="13" t="inlineStr">
        <is>
          <t>kay</t>
        </is>
      </c>
      <c r="D102" s="14" t="inlineStr">
        <is>
          <t>Purpose Particle (Ḥarf Naṣb)</t>
        </is>
      </c>
      <c r="E102" s="15" t="n">
        <v>6</v>
      </c>
      <c r="F102" s="16">
        <f>E102/$E$178</f>
        <v/>
      </c>
      <c r="G102" s="16">
        <f>E102/77429</f>
        <v/>
      </c>
      <c r="H102" s="16">
        <f>H101+F102</f>
        <v/>
      </c>
    </row>
    <row r="103" ht="25" customHeight="1">
      <c r="A103" s="5" t="n">
        <v>99</v>
      </c>
      <c r="B103" s="6" t="inlineStr">
        <is>
          <t>سُدًى</t>
        </is>
      </c>
      <c r="C103" s="7" t="inlineStr">
        <is>
          <t>sudan</t>
        </is>
      </c>
      <c r="D103" s="8" t="inlineStr">
        <is>
          <t>State Adverb (Aimless / Neglected)</t>
        </is>
      </c>
      <c r="E103" s="9" t="n">
        <v>1</v>
      </c>
      <c r="F103" s="10">
        <f>E103/$E$178</f>
        <v/>
      </c>
      <c r="G103" s="10">
        <f>E103/77429</f>
        <v/>
      </c>
      <c r="H103" s="10">
        <f>H102+F103</f>
        <v/>
      </c>
    </row>
    <row r="104" ht="25" customHeight="1">
      <c r="A104" s="11" t="n">
        <v>100</v>
      </c>
      <c r="B104" s="12" t="inlineStr">
        <is>
          <t>لِكَيْلَا</t>
        </is>
      </c>
      <c r="C104" s="13" t="inlineStr">
        <is>
          <t>likaylā</t>
        </is>
      </c>
      <c r="D104" s="14" t="inlineStr">
        <is>
          <t>Negative Purpose Particle</t>
        </is>
      </c>
      <c r="E104" s="15" t="n">
        <v>7</v>
      </c>
      <c r="F104" s="16">
        <f>E104/$E$178</f>
        <v/>
      </c>
      <c r="G104" s="16">
        <f>E104/77429</f>
        <v/>
      </c>
      <c r="H104" s="16">
        <f>H103+F104</f>
        <v/>
      </c>
    </row>
    <row r="105" ht="25" customHeight="1">
      <c r="A105" s="5" t="n">
        <v>101</v>
      </c>
      <c r="B105" s="6" t="inlineStr">
        <is>
          <t>لِئَلَّا</t>
        </is>
      </c>
      <c r="C105" s="7" t="inlineStr">
        <is>
          <t>li'allā</t>
        </is>
      </c>
      <c r="D105" s="8" t="inlineStr">
        <is>
          <t>Negative Purpose Particle</t>
        </is>
      </c>
      <c r="E105" s="9" t="n">
        <v>14</v>
      </c>
      <c r="F105" s="10">
        <f>E105/$E$178</f>
        <v/>
      </c>
      <c r="G105" s="10">
        <f>E105/77429</f>
        <v/>
      </c>
      <c r="H105" s="10">
        <f>H104+F105</f>
        <v/>
      </c>
    </row>
    <row r="106" ht="25" customHeight="1">
      <c r="A106" s="11" t="n">
        <v>102</v>
      </c>
      <c r="B106" s="12" t="inlineStr">
        <is>
          <t>أَلَّا</t>
        </is>
      </c>
      <c r="C106" s="13" t="inlineStr">
        <is>
          <t>allā</t>
        </is>
      </c>
      <c r="D106" s="14" t="inlineStr">
        <is>
          <t>Subordinating Negation</t>
        </is>
      </c>
      <c r="E106" s="15" t="n">
        <v>143</v>
      </c>
      <c r="F106" s="16">
        <f>E106/$E$178</f>
        <v/>
      </c>
      <c r="G106" s="16">
        <f>E106/77429</f>
        <v/>
      </c>
      <c r="H106" s="16">
        <f>H105+F106</f>
        <v/>
      </c>
    </row>
    <row r="107" ht="25" customHeight="1">
      <c r="A107" s="5" t="n">
        <v>103</v>
      </c>
      <c r="B107" s="6" t="inlineStr">
        <is>
          <t>أَفَلَا</t>
        </is>
      </c>
      <c r="C107" s="7" t="inlineStr">
        <is>
          <t>afalā</t>
        </is>
      </c>
      <c r="D107" s="8" t="inlineStr">
        <is>
          <t>Interrogative Reproach</t>
        </is>
      </c>
      <c r="E107" s="9" t="n">
        <v>85</v>
      </c>
      <c r="F107" s="10">
        <f>E107/$E$178</f>
        <v/>
      </c>
      <c r="G107" s="10">
        <f>E107/77429</f>
        <v/>
      </c>
      <c r="H107" s="10">
        <f>H106+F107</f>
        <v/>
      </c>
    </row>
    <row r="108" ht="25" customHeight="1">
      <c r="A108" s="11" t="n">
        <v>104</v>
      </c>
      <c r="B108" s="12" t="inlineStr">
        <is>
          <t>أَفَلَمْ</t>
        </is>
      </c>
      <c r="C108" s="13" t="inlineStr">
        <is>
          <t>afalam</t>
        </is>
      </c>
      <c r="D108" s="14" t="inlineStr">
        <is>
          <t>Interrogative Negative</t>
        </is>
      </c>
      <c r="E108" s="15" t="n">
        <v>15</v>
      </c>
      <c r="F108" s="16">
        <f>E108/$E$178</f>
        <v/>
      </c>
      <c r="G108" s="16">
        <f>E108/77429</f>
        <v/>
      </c>
      <c r="H108" s="16">
        <f>H107+F108</f>
        <v/>
      </c>
    </row>
    <row r="109" ht="25" customHeight="1">
      <c r="A109" s="5" t="n">
        <v>105</v>
      </c>
      <c r="B109" s="6" t="inlineStr">
        <is>
          <t>أَوَلَمْ</t>
        </is>
      </c>
      <c r="C109" s="7" t="inlineStr">
        <is>
          <t>awalam</t>
        </is>
      </c>
      <c r="D109" s="8" t="inlineStr">
        <is>
          <t>Interrogative Negative</t>
        </is>
      </c>
      <c r="E109" s="9" t="n">
        <v>56</v>
      </c>
      <c r="F109" s="10">
        <f>E109/$E$178</f>
        <v/>
      </c>
      <c r="G109" s="10">
        <f>E109/77429</f>
        <v/>
      </c>
      <c r="H109" s="10">
        <f>H108+F109</f>
        <v/>
      </c>
    </row>
    <row r="110" ht="25" customHeight="1">
      <c r="A110" s="11" t="n">
        <v>106</v>
      </c>
      <c r="B110" s="12" t="inlineStr">
        <is>
          <t>أَوَلَا</t>
        </is>
      </c>
      <c r="C110" s="13" t="inlineStr">
        <is>
          <t>awalā</t>
        </is>
      </c>
      <c r="D110" s="14" t="inlineStr">
        <is>
          <t>Interrogative Negative</t>
        </is>
      </c>
      <c r="E110" s="15" t="n">
        <v>6</v>
      </c>
      <c r="F110" s="16">
        <f>E110/$E$178</f>
        <v/>
      </c>
      <c r="G110" s="16">
        <f>E110/77429</f>
        <v/>
      </c>
      <c r="H110" s="16">
        <f>H109+F110</f>
        <v/>
      </c>
    </row>
    <row r="111" ht="25" customHeight="1">
      <c r="A111" s="5" t="n">
        <v>107</v>
      </c>
      <c r="B111" s="6" t="inlineStr">
        <is>
          <t>هَلُمَّ</t>
        </is>
      </c>
      <c r="C111" s="7" t="inlineStr">
        <is>
          <t>halumma</t>
        </is>
      </c>
      <c r="D111" s="8" t="inlineStr">
        <is>
          <t>Verbal Noun / Imperative</t>
        </is>
      </c>
      <c r="E111" s="9" t="n">
        <v>2</v>
      </c>
      <c r="F111" s="10">
        <f>E111/$E$178</f>
        <v/>
      </c>
      <c r="G111" s="10">
        <f>E111/77429</f>
        <v/>
      </c>
      <c r="H111" s="10">
        <f>H110+F111</f>
        <v/>
      </c>
    </row>
    <row r="112" ht="25" customHeight="1">
      <c r="A112" s="11" t="n">
        <v>108</v>
      </c>
      <c r="B112" s="12" t="inlineStr">
        <is>
          <t>هَاتُوا</t>
        </is>
      </c>
      <c r="C112" s="13" t="inlineStr">
        <is>
          <t>hātū</t>
        </is>
      </c>
      <c r="D112" s="14" t="inlineStr">
        <is>
          <t>Verbal Noun / Imperative</t>
        </is>
      </c>
      <c r="E112" s="15" t="n">
        <v>4</v>
      </c>
      <c r="F112" s="16">
        <f>E112/$E$178</f>
        <v/>
      </c>
      <c r="G112" s="16">
        <f>E112/77429</f>
        <v/>
      </c>
      <c r="H112" s="16">
        <f>H111+F112</f>
        <v/>
      </c>
    </row>
    <row r="113" ht="25" customHeight="1">
      <c r="A113" s="5" t="n">
        <v>109</v>
      </c>
      <c r="B113" s="6" t="inlineStr">
        <is>
          <t>هَاؤُمُ</t>
        </is>
      </c>
      <c r="C113" s="7" t="inlineStr">
        <is>
          <t>hā'umu</t>
        </is>
      </c>
      <c r="D113" s="8" t="inlineStr">
        <is>
          <t>Verbal Noun / Imperative</t>
        </is>
      </c>
      <c r="E113" s="9" t="n">
        <v>1</v>
      </c>
      <c r="F113" s="10">
        <f>E113/$E$178</f>
        <v/>
      </c>
      <c r="G113" s="10">
        <f>E113/77429</f>
        <v/>
      </c>
      <c r="H113" s="10">
        <f>H112+F113</f>
        <v/>
      </c>
    </row>
    <row r="114" ht="25" customHeight="1">
      <c r="A114" s="11" t="n">
        <v>110</v>
      </c>
      <c r="B114" s="12" t="inlineStr">
        <is>
          <t>هَيْهَاتَ</t>
        </is>
      </c>
      <c r="C114" s="13" t="inlineStr">
        <is>
          <t>hayhāta</t>
        </is>
      </c>
      <c r="D114" s="14" t="inlineStr">
        <is>
          <t>Verbal Noun of Distance</t>
        </is>
      </c>
      <c r="E114" s="15" t="n">
        <v>2</v>
      </c>
      <c r="F114" s="16">
        <f>E114/$E$178</f>
        <v/>
      </c>
      <c r="G114" s="16">
        <f>E114/77429</f>
        <v/>
      </c>
      <c r="H114" s="16">
        <f>H113+F114</f>
        <v/>
      </c>
    </row>
    <row r="115" ht="25" customHeight="1">
      <c r="A115" s="5" t="n">
        <v>111</v>
      </c>
      <c r="B115" s="6" t="inlineStr">
        <is>
          <t>أُفٍّ</t>
        </is>
      </c>
      <c r="C115" s="7" t="inlineStr">
        <is>
          <t>uffin</t>
        </is>
      </c>
      <c r="D115" s="8" t="inlineStr">
        <is>
          <t>Interjection of Disgust</t>
        </is>
      </c>
      <c r="E115" s="9" t="n">
        <v>3</v>
      </c>
      <c r="F115" s="10">
        <f>E115/$E$178</f>
        <v/>
      </c>
      <c r="G115" s="10">
        <f>E115/77429</f>
        <v/>
      </c>
      <c r="H115" s="10">
        <f>H114+F115</f>
        <v/>
      </c>
    </row>
    <row r="116" ht="25" customHeight="1">
      <c r="A116" s="11" t="n">
        <v>112</v>
      </c>
      <c r="B116" s="12" t="inlineStr">
        <is>
          <t>إِيْ</t>
        </is>
      </c>
      <c r="C116" s="13" t="inlineStr">
        <is>
          <t>ī</t>
        </is>
      </c>
      <c r="D116" s="14" t="inlineStr">
        <is>
          <t>Affirmative Particle</t>
        </is>
      </c>
      <c r="E116" s="15" t="n">
        <v>1</v>
      </c>
      <c r="F116" s="16">
        <f>E116/$E$178</f>
        <v/>
      </c>
      <c r="G116" s="16">
        <f>E116/77429</f>
        <v/>
      </c>
      <c r="H116" s="16">
        <f>H115+F116</f>
        <v/>
      </c>
    </row>
    <row r="117" ht="25" customHeight="1">
      <c r="A117" s="5" t="n">
        <v>113</v>
      </c>
      <c r="B117" s="6" t="inlineStr">
        <is>
          <t>أَيّ</t>
        </is>
      </c>
      <c r="C117" s="7" t="inlineStr">
        <is>
          <t>ayyu</t>
        </is>
      </c>
      <c r="D117" s="8" t="inlineStr">
        <is>
          <t>Interrogative / Conditional</t>
        </is>
      </c>
      <c r="E117" s="9" t="n">
        <v>36</v>
      </c>
      <c r="F117" s="10">
        <f>E117/$E$178</f>
        <v/>
      </c>
      <c r="G117" s="10">
        <f>E117/77429</f>
        <v/>
      </c>
      <c r="H117" s="10">
        <f>H116+F117</f>
        <v/>
      </c>
    </row>
    <row r="118" ht="25" customHeight="1">
      <c r="A118" s="11" t="n">
        <v>114</v>
      </c>
      <c r="B118" s="12" t="inlineStr">
        <is>
          <t>أَيُّهَا</t>
        </is>
      </c>
      <c r="C118" s="13" t="inlineStr">
        <is>
          <t>ayyuhā</t>
        </is>
      </c>
      <c r="D118" s="14" t="inlineStr">
        <is>
          <t>Vocative Particle</t>
        </is>
      </c>
      <c r="E118" s="15" t="n">
        <v>151</v>
      </c>
      <c r="F118" s="16">
        <f>E118/$E$178</f>
        <v/>
      </c>
      <c r="G118" s="16">
        <f>E118/77429</f>
        <v/>
      </c>
      <c r="H118" s="16">
        <f>H117+F118</f>
        <v/>
      </c>
    </row>
    <row r="119" ht="25" customHeight="1">
      <c r="A119" s="5" t="n">
        <v>115</v>
      </c>
      <c r="B119" s="6" t="inlineStr">
        <is>
          <t>أَيَّتُهَا</t>
        </is>
      </c>
      <c r="C119" s="7" t="inlineStr">
        <is>
          <t>ayyatuhā</t>
        </is>
      </c>
      <c r="D119" s="8" t="inlineStr">
        <is>
          <t>Vocative Particle (Fem.)</t>
        </is>
      </c>
      <c r="E119" s="9" t="n">
        <v>5</v>
      </c>
      <c r="F119" s="10">
        <f>E119/$E$178</f>
        <v/>
      </c>
      <c r="G119" s="10">
        <f>E119/77429</f>
        <v/>
      </c>
      <c r="H119" s="10">
        <f>H118+F119</f>
        <v/>
      </c>
    </row>
    <row r="120" ht="25" customHeight="1">
      <c r="A120" s="11" t="n">
        <v>116</v>
      </c>
      <c r="B120" s="12" t="inlineStr">
        <is>
          <t>لَدَى</t>
        </is>
      </c>
      <c r="C120" s="13" t="inlineStr">
        <is>
          <t>ladā</t>
        </is>
      </c>
      <c r="D120" s="14" t="inlineStr">
        <is>
          <t>Location / Presence Adverb</t>
        </is>
      </c>
      <c r="E120" s="15" t="n">
        <v>8</v>
      </c>
      <c r="F120" s="16">
        <f>E120/$E$178</f>
        <v/>
      </c>
      <c r="G120" s="16">
        <f>E120/77429</f>
        <v/>
      </c>
      <c r="H120" s="16">
        <f>H119+F120</f>
        <v/>
      </c>
    </row>
    <row r="121" ht="25" customHeight="1">
      <c r="A121" s="5" t="n">
        <v>117</v>
      </c>
      <c r="B121" s="6" t="inlineStr">
        <is>
          <t>وَرَاءَ</t>
        </is>
      </c>
      <c r="C121" s="7" t="inlineStr">
        <is>
          <t>warā'a</t>
        </is>
      </c>
      <c r="D121" s="8" t="inlineStr">
        <is>
          <t>Location / Beyond Adverb</t>
        </is>
      </c>
      <c r="E121" s="9" t="n">
        <v>25</v>
      </c>
      <c r="F121" s="10">
        <f>E121/$E$178</f>
        <v/>
      </c>
      <c r="G121" s="10">
        <f>E121/77429</f>
        <v/>
      </c>
      <c r="H121" s="10">
        <f>H120+F121</f>
        <v/>
      </c>
    </row>
    <row r="122" ht="25" customHeight="1">
      <c r="A122" s="11" t="n">
        <v>118</v>
      </c>
      <c r="B122" s="12" t="inlineStr">
        <is>
          <t>أَمَامَ</t>
        </is>
      </c>
      <c r="C122" s="13" t="inlineStr">
        <is>
          <t>amāma</t>
        </is>
      </c>
      <c r="D122" s="14" t="inlineStr">
        <is>
          <t>Location / Direction Adverb</t>
        </is>
      </c>
      <c r="E122" s="15" t="n">
        <v>1</v>
      </c>
      <c r="F122" s="16">
        <f>E122/$E$178</f>
        <v/>
      </c>
      <c r="G122" s="16">
        <f>E122/77429</f>
        <v/>
      </c>
      <c r="H122" s="16">
        <f>H121+F122</f>
        <v/>
      </c>
    </row>
    <row r="123" ht="25" customHeight="1">
      <c r="A123" s="5" t="n">
        <v>119</v>
      </c>
      <c r="B123" s="6" t="inlineStr">
        <is>
          <t>خَلْفَ</t>
        </is>
      </c>
      <c r="C123" s="7" t="inlineStr">
        <is>
          <t>khalfa</t>
        </is>
      </c>
      <c r="D123" s="8" t="inlineStr">
        <is>
          <t>Location Adverb</t>
        </is>
      </c>
      <c r="E123" s="9" t="n">
        <v>19</v>
      </c>
      <c r="F123" s="10">
        <f>E123/$E$178</f>
        <v/>
      </c>
      <c r="G123" s="10">
        <f>E123/77429</f>
        <v/>
      </c>
      <c r="H123" s="10">
        <f>H122+F123</f>
        <v/>
      </c>
    </row>
    <row r="124" ht="25" customHeight="1">
      <c r="A124" s="11" t="n">
        <v>120</v>
      </c>
      <c r="B124" s="12" t="inlineStr">
        <is>
          <t>فَوْقَ</t>
        </is>
      </c>
      <c r="C124" s="13" t="inlineStr">
        <is>
          <t>fawqa</t>
        </is>
      </c>
      <c r="D124" s="14" t="inlineStr">
        <is>
          <t>Location / Spatial Adverb</t>
        </is>
      </c>
      <c r="E124" s="15" t="n">
        <v>34</v>
      </c>
      <c r="F124" s="16">
        <f>E124/$E$178</f>
        <v/>
      </c>
      <c r="G124" s="16">
        <f>E124/77429</f>
        <v/>
      </c>
      <c r="H124" s="16">
        <f>H123+F124</f>
        <v/>
      </c>
    </row>
    <row r="125" ht="25" customHeight="1">
      <c r="A125" s="5" t="n">
        <v>121</v>
      </c>
      <c r="B125" s="6" t="inlineStr">
        <is>
          <t>تَحْتَ</t>
        </is>
      </c>
      <c r="C125" s="7" t="inlineStr">
        <is>
          <t>taḥta</t>
        </is>
      </c>
      <c r="D125" s="8" t="inlineStr">
        <is>
          <t>Location Adverb</t>
        </is>
      </c>
      <c r="E125" s="9" t="n">
        <v>51</v>
      </c>
      <c r="F125" s="10">
        <f>E125/$E$178</f>
        <v/>
      </c>
      <c r="G125" s="10">
        <f>E125/77429</f>
        <v/>
      </c>
      <c r="H125" s="10">
        <f>H124+F125</f>
        <v/>
      </c>
    </row>
    <row r="126" ht="25" customHeight="1">
      <c r="A126" s="11" t="n">
        <v>122</v>
      </c>
      <c r="B126" s="12" t="inlineStr">
        <is>
          <t>يَمِينَ</t>
        </is>
      </c>
      <c r="C126" s="13" t="inlineStr">
        <is>
          <t>yamīna</t>
        </is>
      </c>
      <c r="D126" s="14" t="inlineStr">
        <is>
          <t>Direction / Right side</t>
        </is>
      </c>
      <c r="E126" s="15" t="n">
        <v>20</v>
      </c>
      <c r="F126" s="16">
        <f>E126/$E$178</f>
        <v/>
      </c>
      <c r="G126" s="16">
        <f>E126/77429</f>
        <v/>
      </c>
      <c r="H126" s="16">
        <f>H125+F126</f>
        <v/>
      </c>
    </row>
    <row r="127" ht="25" customHeight="1">
      <c r="A127" s="5" t="n">
        <v>123</v>
      </c>
      <c r="B127" s="6" t="inlineStr">
        <is>
          <t>شِمَالَ</t>
        </is>
      </c>
      <c r="C127" s="7" t="inlineStr">
        <is>
          <t>shimāla</t>
        </is>
      </c>
      <c r="D127" s="8" t="inlineStr">
        <is>
          <t>Direction / Left side</t>
        </is>
      </c>
      <c r="E127" s="9" t="n">
        <v>6</v>
      </c>
      <c r="F127" s="10">
        <f>E127/$E$178</f>
        <v/>
      </c>
      <c r="G127" s="10">
        <f>E127/77429</f>
        <v/>
      </c>
      <c r="H127" s="10">
        <f>H126+F127</f>
        <v/>
      </c>
    </row>
    <row r="128" ht="25" customHeight="1">
      <c r="A128" s="11" t="n">
        <v>124</v>
      </c>
      <c r="B128" s="12" t="inlineStr">
        <is>
          <t>تِلْقَاءَ</t>
        </is>
      </c>
      <c r="C128" s="13" t="inlineStr">
        <is>
          <t>tilqā'a</t>
        </is>
      </c>
      <c r="D128" s="14" t="inlineStr">
        <is>
          <t>Direction Adverb</t>
        </is>
      </c>
      <c r="E128" s="15" t="n">
        <v>7</v>
      </c>
      <c r="F128" s="16">
        <f>E128/$E$178</f>
        <v/>
      </c>
      <c r="G128" s="16">
        <f>E128/77429</f>
        <v/>
      </c>
      <c r="H128" s="16">
        <f>H127+F128</f>
        <v/>
      </c>
    </row>
    <row r="129" ht="25" customHeight="1">
      <c r="A129" s="5" t="n">
        <v>125</v>
      </c>
      <c r="B129" s="6" t="inlineStr">
        <is>
          <t>حَوْلَ</t>
        </is>
      </c>
      <c r="C129" s="7" t="inlineStr">
        <is>
          <t>ḥawla</t>
        </is>
      </c>
      <c r="D129" s="8" t="inlineStr">
        <is>
          <t>Location Adverb</t>
        </is>
      </c>
      <c r="E129" s="9" t="n">
        <v>22</v>
      </c>
      <c r="F129" s="10">
        <f>E129/$E$178</f>
        <v/>
      </c>
      <c r="G129" s="10">
        <f>E129/77429</f>
        <v/>
      </c>
      <c r="H129" s="10">
        <f>H128+F129</f>
        <v/>
      </c>
    </row>
    <row r="130" ht="25" customHeight="1">
      <c r="A130" s="11" t="n">
        <v>126</v>
      </c>
      <c r="B130" s="12" t="inlineStr">
        <is>
          <t>قَبْلَ</t>
        </is>
      </c>
      <c r="C130" s="13" t="inlineStr">
        <is>
          <t>qabla</t>
        </is>
      </c>
      <c r="D130" s="14" t="inlineStr">
        <is>
          <t>Time Adverb</t>
        </is>
      </c>
      <c r="E130" s="15" t="n">
        <v>294</v>
      </c>
      <c r="F130" s="16">
        <f>E130/$E$178</f>
        <v/>
      </c>
      <c r="G130" s="16">
        <f>E130/77429</f>
        <v/>
      </c>
      <c r="H130" s="16">
        <f>H129+F130</f>
        <v/>
      </c>
    </row>
    <row r="131" ht="25" customHeight="1">
      <c r="A131" s="5" t="n">
        <v>127</v>
      </c>
      <c r="B131" s="6" t="inlineStr">
        <is>
          <t>بَعْدَ</t>
        </is>
      </c>
      <c r="C131" s="7" t="inlineStr">
        <is>
          <t>baʿda</t>
        </is>
      </c>
      <c r="D131" s="8" t="inlineStr">
        <is>
          <t>Time Adverb</t>
        </is>
      </c>
      <c r="E131" s="9" t="n">
        <v>224</v>
      </c>
      <c r="F131" s="10">
        <f>E131/$E$178</f>
        <v/>
      </c>
      <c r="G131" s="10">
        <f>E131/77429</f>
        <v/>
      </c>
      <c r="H131" s="10">
        <f>H130+F131</f>
        <v/>
      </c>
    </row>
    <row r="132" ht="25" customHeight="1">
      <c r="A132" s="11" t="n">
        <v>128</v>
      </c>
      <c r="B132" s="12" t="inlineStr">
        <is>
          <t>عَمَّ</t>
        </is>
      </c>
      <c r="C132" s="13" t="inlineStr">
        <is>
          <t>ʿamma</t>
        </is>
      </c>
      <c r="D132" s="14" t="inlineStr">
        <is>
          <t>Interrogative Compound</t>
        </is>
      </c>
      <c r="E132" s="15" t="n">
        <v>1</v>
      </c>
      <c r="F132" s="16">
        <f>E132/$E$178</f>
        <v/>
      </c>
      <c r="G132" s="16">
        <f>E132/77429</f>
        <v/>
      </c>
      <c r="H132" s="16">
        <f>H131+F132</f>
        <v/>
      </c>
    </row>
    <row r="133" ht="25" customHeight="1">
      <c r="A133" s="5" t="n">
        <v>129</v>
      </c>
      <c r="B133" s="6" t="inlineStr">
        <is>
          <t>فِيمَ</t>
        </is>
      </c>
      <c r="C133" s="7" t="inlineStr">
        <is>
          <t>fīma</t>
        </is>
      </c>
      <c r="D133" s="8" t="inlineStr">
        <is>
          <t>Interrogative Compound</t>
        </is>
      </c>
      <c r="E133" s="9" t="n">
        <v>5</v>
      </c>
      <c r="F133" s="10">
        <f>E133/$E$178</f>
        <v/>
      </c>
      <c r="G133" s="10">
        <f>E133/77429</f>
        <v/>
      </c>
      <c r="H133" s="10">
        <f>H132+F133</f>
        <v/>
      </c>
    </row>
    <row r="134" ht="25" customHeight="1">
      <c r="A134" s="11" t="n">
        <v>130</v>
      </c>
      <c r="B134" s="12" t="inlineStr">
        <is>
          <t>بِمَ</t>
        </is>
      </c>
      <c r="C134" s="13" t="inlineStr">
        <is>
          <t>bima</t>
        </is>
      </c>
      <c r="D134" s="14" t="inlineStr">
        <is>
          <t>Interrogative Compound</t>
        </is>
      </c>
      <c r="E134" s="15" t="n">
        <v>4</v>
      </c>
      <c r="F134" s="16">
        <f>E134/$E$178</f>
        <v/>
      </c>
      <c r="G134" s="16">
        <f>E134/77429</f>
        <v/>
      </c>
      <c r="H134" s="16">
        <f>H133+F134</f>
        <v/>
      </c>
    </row>
    <row r="135" ht="25" customHeight="1">
      <c r="A135" s="5" t="n">
        <v>131</v>
      </c>
      <c r="B135" s="6" t="inlineStr">
        <is>
          <t>مِمَّ</t>
        </is>
      </c>
      <c r="C135" s="7" t="inlineStr">
        <is>
          <t>mimma</t>
        </is>
      </c>
      <c r="D135" s="8" t="inlineStr">
        <is>
          <t>Interrogative Compound</t>
        </is>
      </c>
      <c r="E135" s="9" t="n">
        <v>3</v>
      </c>
      <c r="F135" s="10">
        <f>E135/$E$178</f>
        <v/>
      </c>
      <c r="G135" s="10">
        <f>E135/77429</f>
        <v/>
      </c>
      <c r="H135" s="10">
        <f>H134+F135</f>
        <v/>
      </c>
    </row>
    <row r="136" ht="25" customHeight="1">
      <c r="A136" s="11" t="n">
        <v>132</v>
      </c>
      <c r="B136" s="12" t="inlineStr">
        <is>
          <t>لِمَ</t>
        </is>
      </c>
      <c r="C136" s="13" t="inlineStr">
        <is>
          <t>lima</t>
        </is>
      </c>
      <c r="D136" s="14" t="inlineStr">
        <is>
          <t>Interrogative Particle</t>
        </is>
      </c>
      <c r="E136" s="15" t="n">
        <v>18</v>
      </c>
      <c r="F136" s="16">
        <f>E136/$E$178</f>
        <v/>
      </c>
      <c r="G136" s="16">
        <f>E136/77429</f>
        <v/>
      </c>
      <c r="H136" s="16">
        <f>H135+F136</f>
        <v/>
      </c>
    </row>
    <row r="137" ht="25" customHeight="1">
      <c r="A137" s="5" t="n">
        <v>133</v>
      </c>
      <c r="B137" s="6" t="inlineStr">
        <is>
          <t>كَمْ</t>
        </is>
      </c>
      <c r="C137" s="7" t="inlineStr">
        <is>
          <t>kam</t>
        </is>
      </c>
      <c r="D137" s="8" t="inlineStr">
        <is>
          <t>Interrogative / Multiplier</t>
        </is>
      </c>
      <c r="E137" s="9" t="n">
        <v>21</v>
      </c>
      <c r="F137" s="10">
        <f>E137/$E$178</f>
        <v/>
      </c>
      <c r="G137" s="10">
        <f>E137/77429</f>
        <v/>
      </c>
      <c r="H137" s="10">
        <f>H136+F137</f>
        <v/>
      </c>
    </row>
    <row r="138" ht="25" customHeight="1">
      <c r="A138" s="11" t="n">
        <v>134</v>
      </c>
      <c r="B138" s="12" t="inlineStr">
        <is>
          <t>الَّذَانِ</t>
        </is>
      </c>
      <c r="C138" s="13" t="inlineStr">
        <is>
          <t>alladhāni</t>
        </is>
      </c>
      <c r="D138" s="14" t="inlineStr">
        <is>
          <t>Relative Pronoun (Masc. Dual)</t>
        </is>
      </c>
      <c r="E138" s="15" t="n">
        <v>1</v>
      </c>
      <c r="F138" s="16">
        <f>E138/$E$178</f>
        <v/>
      </c>
      <c r="G138" s="16">
        <f>E138/77429</f>
        <v/>
      </c>
      <c r="H138" s="16">
        <f>H137+F138</f>
        <v/>
      </c>
    </row>
    <row r="139" ht="25" customHeight="1">
      <c r="A139" s="5" t="n">
        <v>135</v>
      </c>
      <c r="B139" s="6" t="inlineStr">
        <is>
          <t>اللَّتَانِ</t>
        </is>
      </c>
      <c r="C139" s="7" t="inlineStr">
        <is>
          <t>allatāni</t>
        </is>
      </c>
      <c r="D139" s="8" t="inlineStr">
        <is>
          <t>Relative Pronoun (Dual)</t>
        </is>
      </c>
      <c r="E139" s="9" t="n">
        <v>1</v>
      </c>
      <c r="F139" s="10">
        <f>E139/$E$178</f>
        <v/>
      </c>
      <c r="G139" s="10">
        <f>E139/77429</f>
        <v/>
      </c>
      <c r="H139" s="10">
        <f>H138+F139</f>
        <v/>
      </c>
    </row>
    <row r="140" ht="25" customHeight="1">
      <c r="A140" s="11" t="n">
        <v>136</v>
      </c>
      <c r="B140" s="12" t="inlineStr">
        <is>
          <t>اللَّاتِي</t>
        </is>
      </c>
      <c r="C140" s="13" t="inlineStr">
        <is>
          <t>allātī</t>
        </is>
      </c>
      <c r="D140" s="14" t="inlineStr">
        <is>
          <t>Relative Pronoun (Fem. Pl.)</t>
        </is>
      </c>
      <c r="E140" s="15" t="n">
        <v>4</v>
      </c>
      <c r="F140" s="16">
        <f>E140/$E$178</f>
        <v/>
      </c>
      <c r="G140" s="16">
        <f>E140/77429</f>
        <v/>
      </c>
      <c r="H140" s="16">
        <f>H139+F140</f>
        <v/>
      </c>
    </row>
    <row r="141" ht="25" customHeight="1">
      <c r="A141" s="5" t="n">
        <v>137</v>
      </c>
      <c r="B141" s="6" t="inlineStr">
        <is>
          <t>اللَّائِي</t>
        </is>
      </c>
      <c r="C141" s="7" t="inlineStr">
        <is>
          <t>allā'ī</t>
        </is>
      </c>
      <c r="D141" s="8" t="inlineStr">
        <is>
          <t>Relative Pronoun (Fem. Pl.)</t>
        </is>
      </c>
      <c r="E141" s="9" t="n">
        <v>4</v>
      </c>
      <c r="F141" s="10">
        <f>E141/$E$178</f>
        <v/>
      </c>
      <c r="G141" s="10">
        <f>E141/77429</f>
        <v/>
      </c>
      <c r="H141" s="10">
        <f>H140+F141</f>
        <v/>
      </c>
    </row>
    <row r="142" ht="25" customHeight="1">
      <c r="A142" s="11" t="n">
        <v>138</v>
      </c>
      <c r="B142" s="12" t="inlineStr">
        <is>
          <t>ذَانِكَ</t>
        </is>
      </c>
      <c r="C142" s="13" t="inlineStr">
        <is>
          <t>dhānika</t>
        </is>
      </c>
      <c r="D142" s="14" t="inlineStr">
        <is>
          <t>Demonstrative (Masc. Dual)</t>
        </is>
      </c>
      <c r="E142" s="15" t="n">
        <v>1</v>
      </c>
      <c r="F142" s="16">
        <f>E142/$E$178</f>
        <v/>
      </c>
      <c r="G142" s="16">
        <f>E142/77429</f>
        <v/>
      </c>
      <c r="H142" s="16">
        <f>H141+F142</f>
        <v/>
      </c>
    </row>
    <row r="143" ht="25" customHeight="1">
      <c r="A143" s="5" t="n">
        <v>139</v>
      </c>
      <c r="B143" s="6" t="inlineStr">
        <is>
          <t>أُولَاءِ</t>
        </is>
      </c>
      <c r="C143" s="7" t="inlineStr">
        <is>
          <t>ulā'i</t>
        </is>
      </c>
      <c r="D143" s="8" t="inlineStr">
        <is>
          <t>Demonstrative Pronoun</t>
        </is>
      </c>
      <c r="E143" s="9" t="n">
        <v>2</v>
      </c>
      <c r="F143" s="10">
        <f>E143/$E$178</f>
        <v/>
      </c>
      <c r="G143" s="10">
        <f>E143/77429</f>
        <v/>
      </c>
      <c r="H143" s="10">
        <f>H142+F143</f>
        <v/>
      </c>
    </row>
    <row r="144" ht="25" customHeight="1">
      <c r="A144" s="11" t="n">
        <v>140</v>
      </c>
      <c r="B144" s="12" t="inlineStr">
        <is>
          <t>هُنَا</t>
        </is>
      </c>
      <c r="C144" s="13" t="inlineStr">
        <is>
          <t>hunā</t>
        </is>
      </c>
      <c r="D144" s="14" t="inlineStr">
        <is>
          <t>Location Demonstrative</t>
        </is>
      </c>
      <c r="E144" s="15" t="n">
        <v>3</v>
      </c>
      <c r="F144" s="16">
        <f>E144/$E$178</f>
        <v/>
      </c>
      <c r="G144" s="16">
        <f>E144/77429</f>
        <v/>
      </c>
      <c r="H144" s="16">
        <f>H143+F144</f>
        <v/>
      </c>
    </row>
    <row r="145" ht="25" customHeight="1">
      <c r="A145" s="5" t="n">
        <v>141</v>
      </c>
      <c r="B145" s="6" t="inlineStr">
        <is>
          <t>أَنْتُمَا</t>
        </is>
      </c>
      <c r="C145" s="7" t="inlineStr">
        <is>
          <t>antumā</t>
        </is>
      </c>
      <c r="D145" s="8" t="inlineStr">
        <is>
          <t>Personal Pronoun (Dual)</t>
        </is>
      </c>
      <c r="E145" s="9" t="n">
        <v>4</v>
      </c>
      <c r="F145" s="10">
        <f>E145/$E$178</f>
        <v/>
      </c>
      <c r="G145" s="10">
        <f>E145/77429</f>
        <v/>
      </c>
      <c r="H145" s="10">
        <f>H144+F145</f>
        <v/>
      </c>
    </row>
    <row r="146" ht="25" customHeight="1">
      <c r="A146" s="11" t="n">
        <v>142</v>
      </c>
      <c r="B146" s="12" t="inlineStr">
        <is>
          <t>أَنْتِ</t>
        </is>
      </c>
      <c r="C146" s="13" t="inlineStr">
        <is>
          <t>anti</t>
        </is>
      </c>
      <c r="D146" s="14" t="inlineStr">
        <is>
          <t>Personal Pronoun (Fem. Sg.)</t>
        </is>
      </c>
      <c r="E146" s="15" t="n">
        <v>1</v>
      </c>
      <c r="F146" s="16">
        <f>E146/$E$178</f>
        <v/>
      </c>
      <c r="G146" s="16">
        <f>E146/77429</f>
        <v/>
      </c>
      <c r="H146" s="16">
        <f>H145+F146</f>
        <v/>
      </c>
    </row>
    <row r="147" ht="25" customHeight="1">
      <c r="A147" s="5" t="n">
        <v>143</v>
      </c>
      <c r="B147" s="6" t="inlineStr">
        <is>
          <t>إِيَّاكَ</t>
        </is>
      </c>
      <c r="C147" s="7" t="inlineStr">
        <is>
          <t>iyyāka</t>
        </is>
      </c>
      <c r="D147" s="8" t="inlineStr">
        <is>
          <t>Exclusive Pronoun (2nd Masc)</t>
        </is>
      </c>
      <c r="E147" s="9" t="n">
        <v>2</v>
      </c>
      <c r="F147" s="10">
        <f>E147/$E$178</f>
        <v/>
      </c>
      <c r="G147" s="10">
        <f>E147/77429</f>
        <v/>
      </c>
      <c r="H147" s="10">
        <f>H146+F147</f>
        <v/>
      </c>
    </row>
    <row r="148" ht="25" customHeight="1">
      <c r="A148" s="11" t="n">
        <v>144</v>
      </c>
      <c r="B148" s="12" t="inlineStr">
        <is>
          <t>إِيَّاهُ</t>
        </is>
      </c>
      <c r="C148" s="13" t="inlineStr">
        <is>
          <t>iyyāhu</t>
        </is>
      </c>
      <c r="D148" s="14" t="inlineStr">
        <is>
          <t>Exclusive Pronoun (3rd Masc)</t>
        </is>
      </c>
      <c r="E148" s="15" t="n">
        <v>17</v>
      </c>
      <c r="F148" s="16">
        <f>E148/$E$178</f>
        <v/>
      </c>
      <c r="G148" s="16">
        <f>E148/77429</f>
        <v/>
      </c>
      <c r="H148" s="16">
        <f>H147+F148</f>
        <v/>
      </c>
    </row>
    <row r="149" ht="25" customHeight="1">
      <c r="A149" s="5" t="n">
        <v>145</v>
      </c>
      <c r="B149" s="6" t="inlineStr">
        <is>
          <t>إِيَّايَ</t>
        </is>
      </c>
      <c r="C149" s="7" t="inlineStr">
        <is>
          <t>iyyāya</t>
        </is>
      </c>
      <c r="D149" s="8" t="inlineStr">
        <is>
          <t>Exclusive Pronoun (1st Sg)</t>
        </is>
      </c>
      <c r="E149" s="9" t="n">
        <v>4</v>
      </c>
      <c r="F149" s="10">
        <f>E149/$E$178</f>
        <v/>
      </c>
      <c r="G149" s="10">
        <f>E149/77429</f>
        <v/>
      </c>
      <c r="H149" s="10">
        <f>H148+F149</f>
        <v/>
      </c>
    </row>
    <row r="150" ht="25" customHeight="1">
      <c r="A150" s="11" t="n">
        <v>146</v>
      </c>
      <c r="B150" s="12" t="inlineStr">
        <is>
          <t>إِيَّانَا</t>
        </is>
      </c>
      <c r="C150" s="13" t="inlineStr">
        <is>
          <t>iyyānā</t>
        </is>
      </c>
      <c r="D150" s="14" t="inlineStr">
        <is>
          <t>Exclusive Pronoun (1st Pl)</t>
        </is>
      </c>
      <c r="E150" s="15" t="n">
        <v>2</v>
      </c>
      <c r="F150" s="16">
        <f>E150/$E$178</f>
        <v/>
      </c>
      <c r="G150" s="16">
        <f>E150/77429</f>
        <v/>
      </c>
      <c r="H150" s="16">
        <f>H149+F150</f>
        <v/>
      </c>
    </row>
    <row r="151" ht="25" customHeight="1">
      <c r="A151" s="5" t="n">
        <v>147</v>
      </c>
      <c r="B151" s="6" t="inlineStr">
        <is>
          <t>إِيَّاكُمْ</t>
        </is>
      </c>
      <c r="C151" s="7" t="inlineStr">
        <is>
          <t>iyyākum</t>
        </is>
      </c>
      <c r="D151" s="8" t="inlineStr">
        <is>
          <t>Exclusive Pronoun (2nd Pl)</t>
        </is>
      </c>
      <c r="E151" s="9" t="n">
        <v>5</v>
      </c>
      <c r="F151" s="10">
        <f>E151/$E$178</f>
        <v/>
      </c>
      <c r="G151" s="10">
        <f>E151/77429</f>
        <v/>
      </c>
      <c r="H151" s="10">
        <f>H150+F151</f>
        <v/>
      </c>
    </row>
    <row r="152" ht="25" customHeight="1">
      <c r="A152" s="11" t="n">
        <v>148</v>
      </c>
      <c r="B152" s="12" t="inlineStr">
        <is>
          <t>إِيَّاهُمْ</t>
        </is>
      </c>
      <c r="C152" s="13" t="inlineStr">
        <is>
          <t>iyyāhum</t>
        </is>
      </c>
      <c r="D152" s="14" t="inlineStr">
        <is>
          <t>Exclusive Pronoun (3rd Pl)</t>
        </is>
      </c>
      <c r="E152" s="15" t="n">
        <v>5</v>
      </c>
      <c r="F152" s="16">
        <f>E152/$E$178</f>
        <v/>
      </c>
      <c r="G152" s="16">
        <f>E152/77429</f>
        <v/>
      </c>
      <c r="H152" s="16">
        <f>H151+F152</f>
        <v/>
      </c>
    </row>
    <row r="153" ht="25" customHeight="1">
      <c r="A153" s="5" t="n">
        <v>149</v>
      </c>
      <c r="B153" s="6" t="inlineStr">
        <is>
          <t>لَوْمَا</t>
        </is>
      </c>
      <c r="C153" s="7" t="inlineStr">
        <is>
          <t>lawmā</t>
        </is>
      </c>
      <c r="D153" s="8" t="inlineStr">
        <is>
          <t>Exhortation Particle</t>
        </is>
      </c>
      <c r="E153" s="9" t="n">
        <v>1</v>
      </c>
      <c r="F153" s="10">
        <f>E153/$E$178</f>
        <v/>
      </c>
      <c r="G153" s="10">
        <f>E153/77429</f>
        <v/>
      </c>
      <c r="H153" s="10">
        <f>H152+F153</f>
        <v/>
      </c>
    </row>
    <row r="154" ht="25" customHeight="1">
      <c r="A154" s="11" t="n">
        <v>150</v>
      </c>
      <c r="B154" s="12" t="inlineStr">
        <is>
          <t>لَا جَرَمَ</t>
        </is>
      </c>
      <c r="C154" s="13" t="inlineStr">
        <is>
          <t>lā jarama</t>
        </is>
      </c>
      <c r="D154" s="14" t="inlineStr">
        <is>
          <t>Particle of Certainty</t>
        </is>
      </c>
      <c r="E154" s="15" t="n">
        <v>5</v>
      </c>
      <c r="F154" s="16">
        <f>E154/$E$178</f>
        <v/>
      </c>
      <c r="G154" s="16">
        <f>E154/77429</f>
        <v/>
      </c>
      <c r="H154" s="16">
        <f>H153+F154</f>
        <v/>
      </c>
    </row>
    <row r="155" ht="25" customHeight="1">
      <c r="A155" s="5" t="n">
        <v>151</v>
      </c>
      <c r="B155" s="6" t="inlineStr">
        <is>
          <t>طَفِقَا</t>
        </is>
      </c>
      <c r="C155" s="7" t="inlineStr">
        <is>
          <t>ṭafiqā</t>
        </is>
      </c>
      <c r="D155" s="8" t="inlineStr">
        <is>
          <t>Inchoative Particle</t>
        </is>
      </c>
      <c r="E155" s="9" t="n">
        <v>2</v>
      </c>
      <c r="F155" s="10">
        <f>E155/$E$178</f>
        <v/>
      </c>
      <c r="G155" s="10">
        <f>E155/77429</f>
        <v/>
      </c>
      <c r="H155" s="10">
        <f>H154+F155</f>
        <v/>
      </c>
    </row>
    <row r="156" ht="25" customHeight="1">
      <c r="A156" s="11" t="n">
        <v>152</v>
      </c>
      <c r="B156" s="12" t="inlineStr">
        <is>
          <t>كَادَ</t>
        </is>
      </c>
      <c r="C156" s="13" t="inlineStr">
        <is>
          <t>kāda</t>
        </is>
      </c>
      <c r="D156" s="14" t="inlineStr">
        <is>
          <t>Approximation Particle</t>
        </is>
      </c>
      <c r="E156" s="15" t="n">
        <v>24</v>
      </c>
      <c r="F156" s="16">
        <f>E156/$E$178</f>
        <v/>
      </c>
      <c r="G156" s="16">
        <f>E156/77429</f>
        <v/>
      </c>
      <c r="H156" s="16">
        <f>H155+F156</f>
        <v/>
      </c>
    </row>
    <row r="157" ht="25" customHeight="1">
      <c r="A157" s="5" t="n">
        <v>153</v>
      </c>
      <c r="B157" s="6" t="inlineStr">
        <is>
          <t>أَيًّا مَّا</t>
        </is>
      </c>
      <c r="C157" s="7" t="inlineStr">
        <is>
          <t>ayyan mā</t>
        </is>
      </c>
      <c r="D157" s="8" t="inlineStr">
        <is>
          <t>Conditional Particle</t>
        </is>
      </c>
      <c r="E157" s="9" t="n">
        <v>1</v>
      </c>
      <c r="F157" s="10">
        <f>E157/$E$178</f>
        <v/>
      </c>
      <c r="G157" s="10">
        <f>E157/77429</f>
        <v/>
      </c>
      <c r="H157" s="10">
        <f>H156+F157</f>
        <v/>
      </c>
    </row>
    <row r="158" ht="25" customHeight="1">
      <c r="A158" s="11" t="n">
        <v>154</v>
      </c>
      <c r="B158" s="12" t="inlineStr">
        <is>
          <t>إِنْ لَّمْ</t>
        </is>
      </c>
      <c r="C158" s="13" t="inlineStr">
        <is>
          <t>in lam</t>
        </is>
      </c>
      <c r="D158" s="14" t="inlineStr">
        <is>
          <t>Compound Negative Condition</t>
        </is>
      </c>
      <c r="E158" s="15" t="n">
        <v>45</v>
      </c>
      <c r="F158" s="16">
        <f>E158/$E$178</f>
        <v/>
      </c>
      <c r="G158" s="16">
        <f>E158/77429</f>
        <v/>
      </c>
      <c r="H158" s="16">
        <f>H157+F158</f>
        <v/>
      </c>
    </row>
    <row r="159" ht="25" customHeight="1">
      <c r="A159" s="5" t="n">
        <v>155</v>
      </c>
      <c r="B159" s="6" t="inlineStr">
        <is>
          <t>إِلَّا أَن</t>
        </is>
      </c>
      <c r="C159" s="7" t="inlineStr">
        <is>
          <t>illā an</t>
        </is>
      </c>
      <c r="D159" s="8" t="inlineStr">
        <is>
          <t>Exceptive Subordinating</t>
        </is>
      </c>
      <c r="E159" s="9" t="n">
        <v>18</v>
      </c>
      <c r="F159" s="10">
        <f>E159/$E$178</f>
        <v/>
      </c>
      <c r="G159" s="10">
        <f>E159/77429</f>
        <v/>
      </c>
      <c r="H159" s="10">
        <f>H158+F159</f>
        <v/>
      </c>
    </row>
    <row r="160" ht="25" customHeight="1">
      <c r="A160" s="11" t="n">
        <v>156</v>
      </c>
      <c r="B160" s="12" t="inlineStr">
        <is>
          <t>لَـ</t>
        </is>
      </c>
      <c r="C160" s="13" t="inlineStr">
        <is>
          <t>la</t>
        </is>
      </c>
      <c r="D160" s="14" t="inlineStr">
        <is>
          <t>Emphatic Particle (Lām)</t>
        </is>
      </c>
      <c r="E160" s="15" t="n">
        <v>244</v>
      </c>
      <c r="F160" s="16">
        <f>E160/$E$178</f>
        <v/>
      </c>
      <c r="G160" s="16">
        <f>E160/77429</f>
        <v/>
      </c>
      <c r="H160" s="16">
        <f>H159+F160</f>
        <v/>
      </c>
    </row>
    <row r="161" ht="25" customHeight="1">
      <c r="A161" s="5" t="n">
        <v>157</v>
      </c>
      <c r="B161" s="6" t="inlineStr">
        <is>
          <t>أَبَدًا</t>
        </is>
      </c>
      <c r="C161" s="7" t="inlineStr">
        <is>
          <t>abadan</t>
        </is>
      </c>
      <c r="D161" s="8" t="inlineStr">
        <is>
          <t>Time Adverb (Ever / Forever)</t>
        </is>
      </c>
      <c r="E161" s="9" t="n">
        <v>28</v>
      </c>
      <c r="F161" s="10">
        <f>E161/$E$178</f>
        <v/>
      </c>
      <c r="G161" s="10">
        <f>E161/77429</f>
        <v/>
      </c>
      <c r="H161" s="10">
        <f>H160+F161</f>
        <v/>
      </c>
    </row>
    <row r="162" ht="25" customHeight="1">
      <c r="A162" s="11" t="n">
        <v>158</v>
      </c>
      <c r="B162" s="12" t="inlineStr">
        <is>
          <t>أَمْسِ</t>
        </is>
      </c>
      <c r="C162" s="13" t="inlineStr">
        <is>
          <t>amsi</t>
        </is>
      </c>
      <c r="D162" s="14" t="inlineStr">
        <is>
          <t>Time Adverb (Yesterday)</t>
        </is>
      </c>
      <c r="E162" s="15" t="n">
        <v>5</v>
      </c>
      <c r="F162" s="16">
        <f>E162/$E$178</f>
        <v/>
      </c>
      <c r="G162" s="16">
        <f>E162/77429</f>
        <v/>
      </c>
      <c r="H162" s="16">
        <f>H161+F162</f>
        <v/>
      </c>
    </row>
    <row r="163" ht="25" customHeight="1">
      <c r="A163" s="5" t="n">
        <v>159</v>
      </c>
      <c r="B163" s="6" t="inlineStr">
        <is>
          <t>غَدًا</t>
        </is>
      </c>
      <c r="C163" s="7" t="inlineStr">
        <is>
          <t>ghadan</t>
        </is>
      </c>
      <c r="D163" s="8" t="inlineStr">
        <is>
          <t>Time Adverb (Tomorrow)</t>
        </is>
      </c>
      <c r="E163" s="9" t="n">
        <v>5</v>
      </c>
      <c r="F163" s="10">
        <f>E163/$E$178</f>
        <v/>
      </c>
      <c r="G163" s="10">
        <f>E163/77429</f>
        <v/>
      </c>
      <c r="H163" s="10">
        <f>H162+F163</f>
        <v/>
      </c>
    </row>
    <row r="164" ht="25" customHeight="1">
      <c r="A164" s="11" t="n">
        <v>160</v>
      </c>
      <c r="B164" s="12" t="inlineStr">
        <is>
          <t>صَبَاحًا</t>
        </is>
      </c>
      <c r="C164" s="13" t="inlineStr">
        <is>
          <t>ṣabāḥan</t>
        </is>
      </c>
      <c r="D164" s="14" t="inlineStr">
        <is>
          <t>Time Adverb (Morning)</t>
        </is>
      </c>
      <c r="E164" s="15" t="n">
        <v>1</v>
      </c>
      <c r="F164" s="16">
        <f>E164/$E$178</f>
        <v/>
      </c>
      <c r="G164" s="16">
        <f>E164/77429</f>
        <v/>
      </c>
      <c r="H164" s="16">
        <f>H163+F164</f>
        <v/>
      </c>
    </row>
    <row r="165" ht="25" customHeight="1">
      <c r="A165" s="5" t="n">
        <v>161</v>
      </c>
      <c r="B165" s="6" t="inlineStr">
        <is>
          <t>عَشِيَّةً</t>
        </is>
      </c>
      <c r="C165" s="7" t="inlineStr">
        <is>
          <t>ʿashiyyatan</t>
        </is>
      </c>
      <c r="D165" s="8" t="inlineStr">
        <is>
          <t>Time Adverb (Evening)</t>
        </is>
      </c>
      <c r="E165" s="9" t="n">
        <v>3</v>
      </c>
      <c r="F165" s="10">
        <f>E165/$E$178</f>
        <v/>
      </c>
      <c r="G165" s="10">
        <f>E165/77429</f>
        <v/>
      </c>
      <c r="H165" s="10">
        <f>H164+F165</f>
        <v/>
      </c>
    </row>
    <row r="166" ht="25" customHeight="1">
      <c r="A166" s="11" t="n">
        <v>162</v>
      </c>
      <c r="B166" s="12" t="inlineStr">
        <is>
          <t>ضُحًى</t>
        </is>
      </c>
      <c r="C166" s="13" t="inlineStr">
        <is>
          <t>ḍuḥan</t>
        </is>
      </c>
      <c r="D166" s="14" t="inlineStr">
        <is>
          <t>Time Adverb (Forenoon)</t>
        </is>
      </c>
      <c r="E166" s="15" t="n">
        <v>6</v>
      </c>
      <c r="F166" s="16">
        <f>E166/$E$178</f>
        <v/>
      </c>
      <c r="G166" s="16">
        <f>E166/77429</f>
        <v/>
      </c>
      <c r="H166" s="16">
        <f>H165+F166</f>
        <v/>
      </c>
    </row>
    <row r="167" ht="25" customHeight="1">
      <c r="A167" s="5" t="n">
        <v>163</v>
      </c>
      <c r="B167" s="6" t="inlineStr">
        <is>
          <t>سَحَرًا</t>
        </is>
      </c>
      <c r="C167" s="7" t="inlineStr">
        <is>
          <t>saḥaran</t>
        </is>
      </c>
      <c r="D167" s="8" t="inlineStr">
        <is>
          <t>Time Adverb (Dawn)</t>
        </is>
      </c>
      <c r="E167" s="9" t="n">
        <v>3</v>
      </c>
      <c r="F167" s="10">
        <f>E167/$E$178</f>
        <v/>
      </c>
      <c r="G167" s="10">
        <f>E167/77429</f>
        <v/>
      </c>
      <c r="H167" s="10">
        <f>H166+F167</f>
        <v/>
      </c>
    </row>
    <row r="168" ht="25" customHeight="1">
      <c r="A168" s="11" t="n">
        <v>164</v>
      </c>
      <c r="B168" s="12" t="inlineStr">
        <is>
          <t>لَيْلًا</t>
        </is>
      </c>
      <c r="C168" s="13" t="inlineStr">
        <is>
          <t>laylan</t>
        </is>
      </c>
      <c r="D168" s="14" t="inlineStr">
        <is>
          <t>Time Adverb (By night)</t>
        </is>
      </c>
      <c r="E168" s="15" t="n">
        <v>92</v>
      </c>
      <c r="F168" s="16">
        <f>E168/$E$178</f>
        <v/>
      </c>
      <c r="G168" s="16">
        <f>E168/77429</f>
        <v/>
      </c>
      <c r="H168" s="16">
        <f>H167+F168</f>
        <v/>
      </c>
    </row>
    <row r="169" ht="25" customHeight="1">
      <c r="A169" s="5" t="n">
        <v>165</v>
      </c>
      <c r="B169" s="6" t="inlineStr">
        <is>
          <t>حِينَ</t>
        </is>
      </c>
      <c r="C169" s="7" t="inlineStr">
        <is>
          <t>ḥīna</t>
        </is>
      </c>
      <c r="D169" s="8" t="inlineStr">
        <is>
          <t>Time Adverb (When / At time of)</t>
        </is>
      </c>
      <c r="E169" s="9" t="n">
        <v>37</v>
      </c>
      <c r="F169" s="10">
        <f>E169/$E$178</f>
        <v/>
      </c>
      <c r="G169" s="10">
        <f>E169/77429</f>
        <v/>
      </c>
      <c r="H169" s="10">
        <f>H168+F169</f>
        <v/>
      </c>
    </row>
    <row r="170" ht="25" customHeight="1">
      <c r="A170" s="11" t="n">
        <v>166</v>
      </c>
      <c r="B170" s="12" t="inlineStr">
        <is>
          <t>طَوْرًا</t>
        </is>
      </c>
      <c r="C170" s="13" t="inlineStr">
        <is>
          <t>ṭawran</t>
        </is>
      </c>
      <c r="D170" s="14" t="inlineStr">
        <is>
          <t>Adverb of Stage / Degree</t>
        </is>
      </c>
      <c r="E170" s="15" t="n">
        <v>2</v>
      </c>
      <c r="F170" s="16">
        <f>E170/$E$178</f>
        <v/>
      </c>
      <c r="G170" s="16">
        <f>E170/77429</f>
        <v/>
      </c>
      <c r="H170" s="16">
        <f>H169+F170</f>
        <v/>
      </c>
    </row>
    <row r="171" ht="25" customHeight="1">
      <c r="A171" s="5" t="n">
        <v>167</v>
      </c>
      <c r="B171" s="6" t="inlineStr">
        <is>
          <t>جَمِيعًا</t>
        </is>
      </c>
      <c r="C171" s="7" t="inlineStr">
        <is>
          <t>jamīʿan</t>
        </is>
      </c>
      <c r="D171" s="8" t="inlineStr">
        <is>
          <t>State Adverb (Together / All)</t>
        </is>
      </c>
      <c r="E171" s="9" t="n">
        <v>53</v>
      </c>
      <c r="F171" s="10">
        <f>E171/$E$178</f>
        <v/>
      </c>
      <c r="G171" s="10">
        <f>E171/77429</f>
        <v/>
      </c>
      <c r="H171" s="10">
        <f>H170+F171</f>
        <v/>
      </c>
    </row>
    <row r="172" ht="25" customHeight="1">
      <c r="A172" s="11" t="n">
        <v>168</v>
      </c>
      <c r="B172" s="12" t="inlineStr">
        <is>
          <t>سَوَاء</t>
        </is>
      </c>
      <c r="C172" s="13" t="inlineStr">
        <is>
          <t>sawāʾ</t>
        </is>
      </c>
      <c r="D172" s="14" t="inlineStr">
        <is>
          <t>Particle of Equality</t>
        </is>
      </c>
      <c r="E172" s="15" t="n">
        <v>27</v>
      </c>
      <c r="F172" s="16">
        <f>E172/$E$178</f>
        <v/>
      </c>
      <c r="G172" s="16">
        <f>E172/77429</f>
        <v/>
      </c>
      <c r="H172" s="16">
        <f>H171+F172</f>
        <v/>
      </c>
    </row>
    <row r="173" ht="25" customHeight="1">
      <c r="A173" s="5" t="n">
        <v>169</v>
      </c>
      <c r="B173" s="6" t="inlineStr">
        <is>
          <t>غَيْر</t>
        </is>
      </c>
      <c r="C173" s="7" t="inlineStr">
        <is>
          <t>ghayr</t>
        </is>
      </c>
      <c r="D173" s="8" t="inlineStr">
        <is>
          <t>Exceptive / Negative Noun</t>
        </is>
      </c>
      <c r="E173" s="9" t="n">
        <v>146</v>
      </c>
      <c r="F173" s="10">
        <f>E173/$E$178</f>
        <v/>
      </c>
      <c r="G173" s="10">
        <f>E173/77429</f>
        <v/>
      </c>
      <c r="H173" s="10">
        <f>H172+F173</f>
        <v/>
      </c>
    </row>
    <row r="174" ht="25" customHeight="1">
      <c r="A174" s="11" t="n">
        <v>170</v>
      </c>
      <c r="B174" s="12" t="inlineStr">
        <is>
          <t>دُونَ</t>
        </is>
      </c>
      <c r="C174" s="13" t="inlineStr">
        <is>
          <t>dūna</t>
        </is>
      </c>
      <c r="D174" s="14" t="inlineStr">
        <is>
          <t>Location / Excluding Particle</t>
        </is>
      </c>
      <c r="E174" s="15" t="n">
        <v>144</v>
      </c>
      <c r="F174" s="16">
        <f>E174/$E$178</f>
        <v/>
      </c>
      <c r="G174" s="16">
        <f>E174/77429</f>
        <v/>
      </c>
      <c r="H174" s="16">
        <f>H173+F174</f>
        <v/>
      </c>
    </row>
    <row r="175" ht="25" customHeight="1">
      <c r="A175" s="5" t="n">
        <v>171</v>
      </c>
      <c r="B175" s="6" t="inlineStr">
        <is>
          <t>سِوَى</t>
        </is>
      </c>
      <c r="C175" s="7" t="inlineStr">
        <is>
          <t>siwā</t>
        </is>
      </c>
      <c r="D175" s="8" t="inlineStr">
        <is>
          <t>Exceptive Particle</t>
        </is>
      </c>
      <c r="E175" s="9" t="n">
        <v>1</v>
      </c>
      <c r="F175" s="10">
        <f>E175/$E$178</f>
        <v/>
      </c>
      <c r="G175" s="10">
        <f>E175/77429</f>
        <v/>
      </c>
      <c r="H175" s="10">
        <f>H174+F175</f>
        <v/>
      </c>
    </row>
    <row r="176" ht="25" customHeight="1">
      <c r="A176" s="11" t="n">
        <v>172</v>
      </c>
      <c r="B176" s="12" t="inlineStr">
        <is>
          <t>مِثْل</t>
        </is>
      </c>
      <c r="C176" s="13" t="inlineStr">
        <is>
          <t>mithl</t>
        </is>
      </c>
      <c r="D176" s="14" t="inlineStr">
        <is>
          <t>Resemblance Noun / Particle</t>
        </is>
      </c>
      <c r="E176" s="15" t="n">
        <v>167</v>
      </c>
      <c r="F176" s="16">
        <f>E176/$E$178</f>
        <v/>
      </c>
      <c r="G176" s="16">
        <f>E176/77429</f>
        <v/>
      </c>
      <c r="H176" s="16">
        <f>H175+F176</f>
        <v/>
      </c>
    </row>
    <row r="177" ht="25" customHeight="1">
      <c r="A177" s="5" t="n">
        <v>173</v>
      </c>
      <c r="B177" s="6" t="inlineStr">
        <is>
          <t>كِلَا</t>
        </is>
      </c>
      <c r="C177" s="7" t="inlineStr">
        <is>
          <t>kilā</t>
        </is>
      </c>
      <c r="D177" s="8" t="inlineStr">
        <is>
          <t>Dual Affirmation Particle</t>
        </is>
      </c>
      <c r="E177" s="9" t="n">
        <v>1</v>
      </c>
      <c r="F177" s="10">
        <f>E177/$E$178</f>
        <v/>
      </c>
      <c r="G177" s="10">
        <f>E177/77429</f>
        <v/>
      </c>
      <c r="H177" s="10">
        <f>H176+F177</f>
        <v/>
      </c>
    </row>
    <row r="178" ht="22" customHeight="1">
      <c r="A178" s="17" t="inlineStr">
        <is>
          <t>TOTALS</t>
        </is>
      </c>
      <c r="B178" s="17" t="inlineStr">
        <is>
          <t>173 Unique Lemmas</t>
        </is>
      </c>
      <c r="C178" s="18" t="n"/>
      <c r="D178" s="18" t="n"/>
      <c r="E178" s="19">
        <f>SUM(E5:E177)</f>
        <v/>
      </c>
      <c r="F178" s="20">
        <f>SUM(F5:F177)</f>
        <v/>
      </c>
      <c r="G178" s="21">
        <f>SUM(G5:G177)</f>
        <v/>
      </c>
      <c r="H178" s="22" t="inlineStr">
        <is>
          <t>—</t>
        </is>
      </c>
    </row>
  </sheetData>
  <mergeCells count="2">
    <mergeCell ref="A2:H2"/>
    <mergeCell ref="A1:H1"/>
  </mergeCells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2026-09-02T04:31:31Z</dcterms:created>
  <dcterms:modified xmlns:dcterms="http://purl.org/dc/terms/" xmlns:xsi="http://www.w3.org/2001/XMLSchema-instance" xsi:type="dcterms:W3CDTF">2026-09-05T08:19:53Z</dcterms:modified>
  <cp:revision>4</cp:revision>
</cp:coreProperties>
</file>