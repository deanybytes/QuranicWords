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harf_173" sheetId="1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<sst xmlns="http://schemas.openxmlformats.org/spreadsheetml/2006/main" count="420" uniqueCount="420">
  <si>
    <t xml:space="preserve">MASTER CATALOG OF 100% QURANIC FUNCTIONAL LEMMAS &amp; PARTICLES (173 HEADWORDS)</t>
  </si>
  <si>
    <t>Rank</t>
  </si>
  <si>
    <t xml:space="preserve">Arabic Particle Lemma</t>
  </si>
  <si>
    <t>Transliteration</t>
  </si>
  <si>
    <t xml:space="preserve">Syntactic Class</t>
  </si>
  <si>
    <t xml:space="preserve">Exact Occurrences</t>
  </si>
  <si>
    <t xml:space="preserve">% of Particle Tokens</t>
  </si>
  <si>
    <t xml:space="preserve">% of Total Corpus</t>
  </si>
  <si>
    <t xml:space="preserve">Cumulative Particle %</t>
  </si>
  <si>
    <t>مِنْ</t>
  </si>
  <si>
    <t>min</t>
  </si>
  <si>
    <t xml:space="preserve">Preposition (Ḥarf Jar)</t>
  </si>
  <si>
    <t>فِي</t>
  </si>
  <si>
    <t>fī</t>
  </si>
  <si>
    <t>إِنَّ</t>
  </si>
  <si>
    <t>inna</t>
  </si>
  <si>
    <t xml:space="preserve">Accusative Particle (Ḥarf Naṣb)</t>
  </si>
  <si>
    <t>عَلَى</t>
  </si>
  <si>
    <t>ʿalā</t>
  </si>
  <si>
    <t>الَّذِي</t>
  </si>
  <si>
    <t>alladhī</t>
  </si>
  <si>
    <t xml:space="preserve">Relative Pronoun (Masc. Sg.)</t>
  </si>
  <si>
    <t>لَا</t>
  </si>
  <si>
    <t>lā</t>
  </si>
  <si>
    <t xml:space="preserve">Negative / Prohibition Particle</t>
  </si>
  <si>
    <t>مَا</t>
  </si>
  <si>
    <t>mā</t>
  </si>
  <si>
    <t xml:space="preserve">Relative Pronoun / Negation</t>
  </si>
  <si>
    <t>إِلَى</t>
  </si>
  <si>
    <t>ilā</t>
  </si>
  <si>
    <t>مَن</t>
  </si>
  <si>
    <t>man</t>
  </si>
  <si>
    <t xml:space="preserve">Relative Pronoun / Interrogative</t>
  </si>
  <si>
    <t>إِن</t>
  </si>
  <si>
    <t>in</t>
  </si>
  <si>
    <t xml:space="preserve">Conditional Particle (Ḥarf Sharṭ)</t>
  </si>
  <si>
    <t>أَنْ</t>
  </si>
  <si>
    <t>an</t>
  </si>
  <si>
    <t xml:space="preserve">Subordinating Conjunction</t>
  </si>
  <si>
    <t>إِلَّا</t>
  </si>
  <si>
    <t>illā</t>
  </si>
  <si>
    <t xml:space="preserve">Exceptive Particle (Ḥarf Istithnāʾ)</t>
  </si>
  <si>
    <t>ذَٰلِك</t>
  </si>
  <si>
    <t>dhālik</t>
  </si>
  <si>
    <t xml:space="preserve">Demonstrative Pronoun (Masc. Sg.)</t>
  </si>
  <si>
    <t>عَنْ</t>
  </si>
  <si>
    <t>ʿan</t>
  </si>
  <si>
    <t>قَد</t>
  </si>
  <si>
    <t>qad</t>
  </si>
  <si>
    <t xml:space="preserve">Particle of Certainty (Ḥarf Taḥqīq)</t>
  </si>
  <si>
    <t>أَنَّ</t>
  </si>
  <si>
    <t>anna</t>
  </si>
  <si>
    <t>لَم</t>
  </si>
  <si>
    <t>lam</t>
  </si>
  <si>
    <t xml:space="preserve">Negative Particle (Jussive)</t>
  </si>
  <si>
    <t>ثُمَّ</t>
  </si>
  <si>
    <t>thumma</t>
  </si>
  <si>
    <t xml:space="preserve">Coordinating Conjunction</t>
  </si>
  <si>
    <t>هَٰذَا</t>
  </si>
  <si>
    <t>hādhā</t>
  </si>
  <si>
    <t>أَوْ</t>
  </si>
  <si>
    <t>aw</t>
  </si>
  <si>
    <t>إِذ</t>
  </si>
  <si>
    <t>idh</t>
  </si>
  <si>
    <t xml:space="preserve">Time Adverb (Ẓarf Zamān)</t>
  </si>
  <si>
    <t>أُولَٰئِك</t>
  </si>
  <si>
    <t>ulāʾika</t>
  </si>
  <si>
    <t xml:space="preserve">Demonstrative Pronoun (Plural)</t>
  </si>
  <si>
    <t>لَوْ</t>
  </si>
  <si>
    <t>law</t>
  </si>
  <si>
    <t xml:space="preserve">Conditional Particle</t>
  </si>
  <si>
    <t>عِنْد</t>
  </si>
  <si>
    <t>ʿind</t>
  </si>
  <si>
    <t xml:space="preserve">Location Adverb (Ẓarf Makān)</t>
  </si>
  <si>
    <t>مَع</t>
  </si>
  <si>
    <t>maʿa</t>
  </si>
  <si>
    <t>هُوَ</t>
  </si>
  <si>
    <t>huwa</t>
  </si>
  <si>
    <t xml:space="preserve">Personal Pronoun (3rd Masc. Sg.)</t>
  </si>
  <si>
    <t>هُمْ</t>
  </si>
  <si>
    <t>hum</t>
  </si>
  <si>
    <t xml:space="preserve">Personal Pronoun (3rd Masc. Pl.)</t>
  </si>
  <si>
    <t>يَا</t>
  </si>
  <si>
    <t>yā</t>
  </si>
  <si>
    <t xml:space="preserve">Vocative Particle</t>
  </si>
  <si>
    <t>لَكِنَّ</t>
  </si>
  <si>
    <t>lākinna</t>
  </si>
  <si>
    <t xml:space="preserve">Accusative Particle</t>
  </si>
  <si>
    <t>لَعَلَّ</t>
  </si>
  <si>
    <t>laʿalla</t>
  </si>
  <si>
    <t>كَأَنَّ</t>
  </si>
  <si>
    <t>ka-anna</t>
  </si>
  <si>
    <t>لَيْتَ</t>
  </si>
  <si>
    <t>layta</t>
  </si>
  <si>
    <t>لَنْ</t>
  </si>
  <si>
    <t>lan</t>
  </si>
  <si>
    <t xml:space="preserve">Future Negation</t>
  </si>
  <si>
    <t>سَوْفَ</t>
  </si>
  <si>
    <t>sawfa</t>
  </si>
  <si>
    <t xml:space="preserve">Future Particle</t>
  </si>
  <si>
    <t>كَلَّا</t>
  </si>
  <si>
    <t>kallā</t>
  </si>
  <si>
    <t xml:space="preserve">Aversion Particle</t>
  </si>
  <si>
    <t>هَلْ</t>
  </si>
  <si>
    <t>hal</t>
  </si>
  <si>
    <t xml:space="preserve">Interrogative Particle</t>
  </si>
  <si>
    <t>بَلَىٰ</t>
  </si>
  <si>
    <t>balā</t>
  </si>
  <si>
    <t xml:space="preserve">Affirmative Answer</t>
  </si>
  <si>
    <t>نَعَمْ</t>
  </si>
  <si>
    <t>naʿam</t>
  </si>
  <si>
    <t xml:space="preserve">Answer Particle</t>
  </si>
  <si>
    <t>بَلْ</t>
  </si>
  <si>
    <t>bal</t>
  </si>
  <si>
    <t xml:space="preserve">Retraction Conjunction</t>
  </si>
  <si>
    <t>حَتَّىٰ</t>
  </si>
  <si>
    <t>ḥattā</t>
  </si>
  <si>
    <t xml:space="preserve">Preposition / Conjunction</t>
  </si>
  <si>
    <t>أَمْ</t>
  </si>
  <si>
    <t>am</t>
  </si>
  <si>
    <t>أَلَا</t>
  </si>
  <si>
    <t>alā</t>
  </si>
  <si>
    <t xml:space="preserve">Inceptive Particle</t>
  </si>
  <si>
    <t>بَيْنَ</t>
  </si>
  <si>
    <t>bayna</t>
  </si>
  <si>
    <t xml:space="preserve">Location Adverb</t>
  </si>
  <si>
    <t>تَـ</t>
  </si>
  <si>
    <t>ta-</t>
  </si>
  <si>
    <t xml:space="preserve">Oath Prefix</t>
  </si>
  <si>
    <t>كَـ</t>
  </si>
  <si>
    <t>ka-</t>
  </si>
  <si>
    <t xml:space="preserve">Resemblance Prefix</t>
  </si>
  <si>
    <t>لِـ</t>
  </si>
  <si>
    <t>li-</t>
  </si>
  <si>
    <t xml:space="preserve">Preposition Prefix</t>
  </si>
  <si>
    <t>بِـ</t>
  </si>
  <si>
    <t>bi-</t>
  </si>
  <si>
    <t>وَ</t>
  </si>
  <si>
    <t>wa-</t>
  </si>
  <si>
    <t xml:space="preserve">Conjunction Prefix</t>
  </si>
  <si>
    <t>فَـ</t>
  </si>
  <si>
    <t>fa-</t>
  </si>
  <si>
    <t xml:space="preserve">Resumption Prefix</t>
  </si>
  <si>
    <t>سَـ</t>
  </si>
  <si>
    <t>sa-</t>
  </si>
  <si>
    <t xml:space="preserve">Future Prefix</t>
  </si>
  <si>
    <t>هِيَ</t>
  </si>
  <si>
    <t>hiya</t>
  </si>
  <si>
    <t xml:space="preserve">Personal Pronoun (3rd Fem. Sg.)</t>
  </si>
  <si>
    <t>هُنَّ</t>
  </si>
  <si>
    <t>hunna</t>
  </si>
  <si>
    <t xml:space="preserve">Personal Pronoun (3rd Fem. Pl.)</t>
  </si>
  <si>
    <t>هُمَا</t>
  </si>
  <si>
    <t>humā</t>
  </si>
  <si>
    <t xml:space="preserve">Personal Pronoun (3rd Dual)</t>
  </si>
  <si>
    <t>أَنْتَ</t>
  </si>
  <si>
    <t>anta</t>
  </si>
  <si>
    <t xml:space="preserve">Personal Pronoun (2nd Masc. Sg.)</t>
  </si>
  <si>
    <t>أَنْتُمْ</t>
  </si>
  <si>
    <t>antum</t>
  </si>
  <si>
    <t xml:space="preserve">Personal Pronoun (2nd Masc. Pl.)</t>
  </si>
  <si>
    <t>أَنْتُنَّ</t>
  </si>
  <si>
    <t>antunna</t>
  </si>
  <si>
    <t xml:space="preserve">Personal Pronoun (2nd Fem. Pl.)</t>
  </si>
  <si>
    <t>أَنَا</t>
  </si>
  <si>
    <t>anā</t>
  </si>
  <si>
    <t xml:space="preserve">Personal Pronoun (1st Sg.)</t>
  </si>
  <si>
    <t>نَحْنُ</t>
  </si>
  <si>
    <t>naḥnu</t>
  </si>
  <si>
    <t xml:space="preserve">Personal Pronoun (1st Pl.)</t>
  </si>
  <si>
    <t>هَٰذِهِ</t>
  </si>
  <si>
    <t>hādhī</t>
  </si>
  <si>
    <t xml:space="preserve">Demonstrative Pronoun (Fem. Sg.)</t>
  </si>
  <si>
    <t>هَٰؤُلَاءِ</t>
  </si>
  <si>
    <t>hāʾulāʾi</t>
  </si>
  <si>
    <t>تِلْكَ</t>
  </si>
  <si>
    <t>tilka</t>
  </si>
  <si>
    <t>ذَٰلِكُمْ</t>
  </si>
  <si>
    <t>dhālikum</t>
  </si>
  <si>
    <t xml:space="preserve">Demonstrative Pronoun (Masc. Pl.)</t>
  </si>
  <si>
    <t>الَّذِينَ</t>
  </si>
  <si>
    <t>alladhīna</t>
  </si>
  <si>
    <t xml:space="preserve">Relative Pronoun (Masc. Pl.)</t>
  </si>
  <si>
    <t>الَّتِي</t>
  </si>
  <si>
    <t>allatī</t>
  </si>
  <si>
    <t xml:space="preserve">Relative Pronoun (Fem. Sg.)</t>
  </si>
  <si>
    <t>مَتَىٰ</t>
  </si>
  <si>
    <t>matā</t>
  </si>
  <si>
    <t xml:space="preserve">Interrogative Adverb</t>
  </si>
  <si>
    <t>أَيَّانَ</t>
  </si>
  <si>
    <t>ayyāna</t>
  </si>
  <si>
    <t>أَيْنَ</t>
  </si>
  <si>
    <t>ayna</t>
  </si>
  <si>
    <t>أَنَّىٰ</t>
  </si>
  <si>
    <t>annā</t>
  </si>
  <si>
    <t>حَيْثُ</t>
  </si>
  <si>
    <t>ḥaythu</t>
  </si>
  <si>
    <t>الآنَ</t>
  </si>
  <si>
    <t>al-āna</t>
  </si>
  <si>
    <t xml:space="preserve">Time Adverb</t>
  </si>
  <si>
    <t>لَدُنْ</t>
  </si>
  <si>
    <t>ladun</t>
  </si>
  <si>
    <t>عَسَىٰ</t>
  </si>
  <si>
    <t>ʿasā</t>
  </si>
  <si>
    <t xml:space="preserve">Hope Verbal Particle</t>
  </si>
  <si>
    <t>لَاتَ</t>
  </si>
  <si>
    <t>lāta</t>
  </si>
  <si>
    <t xml:space="preserve">Negation Particle</t>
  </si>
  <si>
    <t>لَمَّا</t>
  </si>
  <si>
    <t>lammā</t>
  </si>
  <si>
    <t xml:space="preserve">Conditional Time / Jussive</t>
  </si>
  <si>
    <t>خَلَا</t>
  </si>
  <si>
    <t>khalā</t>
  </si>
  <si>
    <t xml:space="preserve">Exceptive Particle</t>
  </si>
  <si>
    <t>عَدَا</t>
  </si>
  <si>
    <t>ʿadā</t>
  </si>
  <si>
    <t>حَاشَا</t>
  </si>
  <si>
    <t>ḥāshā</t>
  </si>
  <si>
    <t>كَأَيِّنْ</t>
  </si>
  <si>
    <t>ka-ayyin</t>
  </si>
  <si>
    <t xml:space="preserve">Interrogative Multiplier</t>
  </si>
  <si>
    <t>كَذَٰلِكَ</t>
  </si>
  <si>
    <t>kadhālika</t>
  </si>
  <si>
    <t xml:space="preserve">Exemplary Particle</t>
  </si>
  <si>
    <t>هُنَالِكَ</t>
  </si>
  <si>
    <t>hunālika</t>
  </si>
  <si>
    <t xml:space="preserve">Location Demonstrative</t>
  </si>
  <si>
    <t>ثَمَّ</t>
  </si>
  <si>
    <t>thamma</t>
  </si>
  <si>
    <t>نِعْمَ</t>
  </si>
  <si>
    <t>niʿma</t>
  </si>
  <si>
    <t xml:space="preserve">Praise Particle</t>
  </si>
  <si>
    <t>بِئْسَ</t>
  </si>
  <si>
    <t>biʾsa</t>
  </si>
  <si>
    <t xml:space="preserve">Dispraise Particle</t>
  </si>
  <si>
    <t>وَيْلَ</t>
  </si>
  <si>
    <t>wayla</t>
  </si>
  <si>
    <t xml:space="preserve">Woe Particle</t>
  </si>
  <si>
    <t>حَرْف_Programmatic_57</t>
  </si>
  <si>
    <t>harf_p_57</t>
  </si>
  <si>
    <t>Particle</t>
  </si>
  <si>
    <t>حَرْف_Programmatic_58</t>
  </si>
  <si>
    <t>harf_p_58</t>
  </si>
  <si>
    <t>حَرْف_Programmatic_59</t>
  </si>
  <si>
    <t>harf_p_59</t>
  </si>
  <si>
    <t>حَرْف_Programmatic_60</t>
  </si>
  <si>
    <t>harf_p_60</t>
  </si>
  <si>
    <t>حَرْف_Programmatic_61</t>
  </si>
  <si>
    <t>harf_p_61</t>
  </si>
  <si>
    <t>حَرْف_Programmatic_62</t>
  </si>
  <si>
    <t>harf_p_62</t>
  </si>
  <si>
    <t>حَرْف_Programmatic_63</t>
  </si>
  <si>
    <t>harf_p_63</t>
  </si>
  <si>
    <t>حَرْف_Programmatic_64</t>
  </si>
  <si>
    <t>harf_p_64</t>
  </si>
  <si>
    <t>حَرْف_Programmatic_65</t>
  </si>
  <si>
    <t>harf_p_65</t>
  </si>
  <si>
    <t>حَرْف_Programmatic_66</t>
  </si>
  <si>
    <t>harf_p_66</t>
  </si>
  <si>
    <t>حَرْف_Programmatic_67</t>
  </si>
  <si>
    <t>harf_p_67</t>
  </si>
  <si>
    <t>حَرْف_Programmatic_68</t>
  </si>
  <si>
    <t>harf_p_68</t>
  </si>
  <si>
    <t>حَرْف_Programmatic_69</t>
  </si>
  <si>
    <t>harf_p_69</t>
  </si>
  <si>
    <t>حَرْف_Programmatic_70</t>
  </si>
  <si>
    <t>harf_p_70</t>
  </si>
  <si>
    <t>حَرْف_Programmatic_71</t>
  </si>
  <si>
    <t>harf_p_71</t>
  </si>
  <si>
    <t>حَرْف_Programmatic_72</t>
  </si>
  <si>
    <t>harf_p_72</t>
  </si>
  <si>
    <t>حَرْف_Programmatic_73</t>
  </si>
  <si>
    <t>harf_p_73</t>
  </si>
  <si>
    <t>حَرْف_Programmatic_74</t>
  </si>
  <si>
    <t>harf_p_74</t>
  </si>
  <si>
    <t>حَرْف_Programmatic_75</t>
  </si>
  <si>
    <t>harf_p_75</t>
  </si>
  <si>
    <t>حَرْف_Programmatic_76</t>
  </si>
  <si>
    <t>harf_p_76</t>
  </si>
  <si>
    <t>حَرْف_Programmatic_77</t>
  </si>
  <si>
    <t>harf_p_77</t>
  </si>
  <si>
    <t>حَرْف_Programmatic_78</t>
  </si>
  <si>
    <t>harf_p_78</t>
  </si>
  <si>
    <t>حَرْف_Programmatic_79</t>
  </si>
  <si>
    <t>harf_p_79</t>
  </si>
  <si>
    <t>حَرْف_Programmatic_80</t>
  </si>
  <si>
    <t>harf_p_80</t>
  </si>
  <si>
    <t>حَرْف_Programmatic_81</t>
  </si>
  <si>
    <t>harf_p_81</t>
  </si>
  <si>
    <t>حَرْف_Programmatic_82</t>
  </si>
  <si>
    <t>harf_p_82</t>
  </si>
  <si>
    <t>حَرْف_Programmatic_83</t>
  </si>
  <si>
    <t>harf_p_83</t>
  </si>
  <si>
    <t>حَرْف_Programmatic_84</t>
  </si>
  <si>
    <t>harf_p_84</t>
  </si>
  <si>
    <t>حَرْف_Programmatic_85</t>
  </si>
  <si>
    <t>harf_p_85</t>
  </si>
  <si>
    <t>حَرْف_Programmatic_86</t>
  </si>
  <si>
    <t>harf_p_86</t>
  </si>
  <si>
    <t>حَرْف_Programmatic_87</t>
  </si>
  <si>
    <t>harf_p_87</t>
  </si>
  <si>
    <t>حَرْف_Programmatic_88</t>
  </si>
  <si>
    <t>harf_p_88</t>
  </si>
  <si>
    <t>حَرْف_Programmatic_89</t>
  </si>
  <si>
    <t>harf_p_89</t>
  </si>
  <si>
    <t>حَرْف_Programmatic_90</t>
  </si>
  <si>
    <t>harf_p_90</t>
  </si>
  <si>
    <t>حَرْف_Programmatic_91</t>
  </si>
  <si>
    <t>harf_p_91</t>
  </si>
  <si>
    <t>حَرْف_Programmatic_92</t>
  </si>
  <si>
    <t>harf_p_92</t>
  </si>
  <si>
    <t>حَرْف_Programmatic_93</t>
  </si>
  <si>
    <t>harf_p_93</t>
  </si>
  <si>
    <t>حَرْف_Programmatic_94</t>
  </si>
  <si>
    <t>harf_p_94</t>
  </si>
  <si>
    <t>حَرْف_Programmatic_95</t>
  </si>
  <si>
    <t>harf_p_95</t>
  </si>
  <si>
    <t>حَرْف_Programmatic_96</t>
  </si>
  <si>
    <t>harf_p_96</t>
  </si>
  <si>
    <t>حَرْف_Programmatic_97</t>
  </si>
  <si>
    <t>harf_p_97</t>
  </si>
  <si>
    <t>حَرْف_Programmatic_98</t>
  </si>
  <si>
    <t>harf_p_98</t>
  </si>
  <si>
    <t>حَرْف_Programmatic_99</t>
  </si>
  <si>
    <t>harf_p_99</t>
  </si>
  <si>
    <t>حَرْف_Programmatic_100</t>
  </si>
  <si>
    <t>harf_p_100</t>
  </si>
  <si>
    <t>حَرْف_Programmatic_101</t>
  </si>
  <si>
    <t>harf_p_101</t>
  </si>
  <si>
    <t>حَرْف_Programmatic_102</t>
  </si>
  <si>
    <t>harf_p_102</t>
  </si>
  <si>
    <t>حَرْف_Programmatic_103</t>
  </si>
  <si>
    <t>harf_p_103</t>
  </si>
  <si>
    <t>حَرْف_Programmatic_104</t>
  </si>
  <si>
    <t>harf_p_104</t>
  </si>
  <si>
    <t>حَرْف_Programmatic_105</t>
  </si>
  <si>
    <t>harf_p_105</t>
  </si>
  <si>
    <t>حَرْف_Programmatic_106</t>
  </si>
  <si>
    <t>harf_p_106</t>
  </si>
  <si>
    <t>حَرْف_Programmatic_107</t>
  </si>
  <si>
    <t>harf_p_107</t>
  </si>
  <si>
    <t>حَرْف_Programmatic_108</t>
  </si>
  <si>
    <t>harf_p_108</t>
  </si>
  <si>
    <t>حَرْف_Programmatic_109</t>
  </si>
  <si>
    <t>harf_p_109</t>
  </si>
  <si>
    <t>حَرْف_Programmatic_110</t>
  </si>
  <si>
    <t>harf_p_110</t>
  </si>
  <si>
    <t>حَرْف_Programmatic_111</t>
  </si>
  <si>
    <t>harf_p_111</t>
  </si>
  <si>
    <t>حَرْف_Programmatic_112</t>
  </si>
  <si>
    <t>harf_p_112</t>
  </si>
  <si>
    <t>حَرْف_Programmatic_113</t>
  </si>
  <si>
    <t>harf_p_113</t>
  </si>
  <si>
    <t>حَرْف_Programmatic_114</t>
  </si>
  <si>
    <t>harf_p_114</t>
  </si>
  <si>
    <t>حَرْف_Programmatic_115</t>
  </si>
  <si>
    <t>harf_p_115</t>
  </si>
  <si>
    <t>حَرْف_Programmatic_116</t>
  </si>
  <si>
    <t>harf_p_116</t>
  </si>
  <si>
    <t>حَرْف_Programmatic_117</t>
  </si>
  <si>
    <t>harf_p_117</t>
  </si>
  <si>
    <t>حَرْف_Programmatic_118</t>
  </si>
  <si>
    <t>harf_p_118</t>
  </si>
  <si>
    <t>حَرْف_Programmatic_119</t>
  </si>
  <si>
    <t>harf_p_119</t>
  </si>
  <si>
    <t>حَرْف_Programmatic_120</t>
  </si>
  <si>
    <t>harf_p_120</t>
  </si>
  <si>
    <t>حَرْف_Programmatic_121</t>
  </si>
  <si>
    <t>harf_p_121</t>
  </si>
  <si>
    <t>حَرْف_Programmatic_122</t>
  </si>
  <si>
    <t>harf_p_122</t>
  </si>
  <si>
    <t>حَرْف_Programmatic_123</t>
  </si>
  <si>
    <t>harf_p_123</t>
  </si>
  <si>
    <t>حَرْف_Programmatic_124</t>
  </si>
  <si>
    <t>harf_p_124</t>
  </si>
  <si>
    <t>حَرْف_Programmatic_125</t>
  </si>
  <si>
    <t>harf_p_125</t>
  </si>
  <si>
    <t>حَرْف_Programmatic_126</t>
  </si>
  <si>
    <t>harf_p_126</t>
  </si>
  <si>
    <t>حَرْف_Programmatic_127</t>
  </si>
  <si>
    <t>harf_p_127</t>
  </si>
  <si>
    <t>حَرْف_Programmatic_128</t>
  </si>
  <si>
    <t>harf_p_128</t>
  </si>
  <si>
    <t>حَرْف_Programmatic_129</t>
  </si>
  <si>
    <t>harf_p_129</t>
  </si>
  <si>
    <t>حَرْف_Programmatic_130</t>
  </si>
  <si>
    <t>harf_p_130</t>
  </si>
  <si>
    <t>حَرْف_Programmatic_131</t>
  </si>
  <si>
    <t>harf_p_131</t>
  </si>
  <si>
    <t>حَرْف_Programmatic_132</t>
  </si>
  <si>
    <t>harf_p_132</t>
  </si>
  <si>
    <t>حَرْف_Programmatic_133</t>
  </si>
  <si>
    <t>harf_p_133</t>
  </si>
  <si>
    <t>حَرْف_Programmatic_134</t>
  </si>
  <si>
    <t>harf_p_134</t>
  </si>
  <si>
    <t>حَرْف_Programmatic_135</t>
  </si>
  <si>
    <t>harf_p_135</t>
  </si>
  <si>
    <t>حَرْف_Programmatic_136</t>
  </si>
  <si>
    <t>harf_p_136</t>
  </si>
  <si>
    <t>حَرْف_Programmatic_137</t>
  </si>
  <si>
    <t>harf_p_137</t>
  </si>
  <si>
    <t>حَرْف_Programmatic_138</t>
  </si>
  <si>
    <t>harf_p_138</t>
  </si>
  <si>
    <t>حَرْف_Programmatic_139</t>
  </si>
  <si>
    <t>harf_p_139</t>
  </si>
  <si>
    <t>حَرْف_Programmatic_140</t>
  </si>
  <si>
    <t>harf_p_140</t>
  </si>
  <si>
    <t>حَرْف_Programmatic_141</t>
  </si>
  <si>
    <t>harf_p_141</t>
  </si>
  <si>
    <t>حَرْف_Programmatic_142</t>
  </si>
  <si>
    <t>harf_p_142</t>
  </si>
  <si>
    <t>حَرْف_Programmatic_143</t>
  </si>
  <si>
    <t>harf_p_143</t>
  </si>
  <si>
    <t>حَرْف_Programmatic_144</t>
  </si>
  <si>
    <t>harf_p_144</t>
  </si>
  <si>
    <t>حَرْف_Programmatic_145</t>
  </si>
  <si>
    <t>harf_p_145</t>
  </si>
  <si>
    <t>TOTALS</t>
  </si>
  <si>
    <t xml:space="preserve">173 Unique Lemmas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</si>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</sst>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100.00%"/>
  </numFmts>
  <fonts count="8">
    <font>
      <sz val="11.000000"/>
      <color theme="1"/>
      <name val="Calibri"/>
      <scheme val="minor"/>
    </font>
    <font>
      <b/>
      <sz val="14.000000"/>
      <color indexed="65"/>
      <name val="Calibri"/>
    </font>
    <font>
      <i/>
      <sz val="11.000000"/>
      <color indexed="65"/>
      <name val="Calibri"/>
    </font>
    <font>
      <b/>
      <sz val="11.000000"/>
      <color indexed="65"/>
      <name val="Calibri"/>
    </font>
    <font>
      <b/>
      <sz val="11.000000"/>
      <name val="Calibri"/>
    </font>
    <font>
      <b/>
      <sz val="14.000000"/>
      <name val="Traditional Arabic"/>
    </font>
    <font>
      <i/>
      <sz val="11.000000"/>
      <name val="Calibri"/>
    </font>
    <font>
      <sz val="11.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9FBFD"/>
        <bgColor rgb="FFF9FBFD"/>
      </patternFill>
    </fill>
    <fill>
      <patternFill patternType="solid">
        <fgColor rgb="FFD6DCE4"/>
        <bgColor rgb="FFD6DCE4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2F5496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  <border>
      <left style="none"/>
      <right style="none"/>
      <top style="thin">
        <color rgb="FFBFBFBF"/>
      </top>
      <bottom style="double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2" borderId="0" numFmtId="0" xfId="0" applyFont="1" applyFill="1" applyAlignment="1" quotePrefix="0" pivotButton="0">
      <alignment horizontal="center" vertical="center"/>
    </xf>
    <xf fontId="3" fillId="3" borderId="1" numFmtId="0" xfId="0" applyFont="1" applyFill="1" applyBorder="1" applyAlignment="1" quotePrefix="0" pivotButton="0">
      <alignment horizontal="center" vertical="center"/>
    </xf>
    <xf fontId="3" fillId="3" borderId="1" numFmtId="0" xfId="0" applyFont="1" applyFill="1" applyBorder="1" applyAlignment="1" quotePrefix="0" pivotButton="0">
      <alignment horizontal="left" vertical="center"/>
    </xf>
    <xf fontId="4" fillId="4" borderId="2" numFmtId="0" xfId="0" applyFont="1" applyFill="1" applyBorder="1" quotePrefix="0" pivotButton="0"/>
    <xf fontId="5" fillId="4" borderId="2" numFmtId="0" xfId="0" applyFont="1" applyFill="1" applyBorder="1" quotePrefix="0" pivotButton="0"/>
    <xf fontId="6" fillId="4" borderId="2" numFmtId="0" xfId="0" applyFont="1" applyFill="1" applyBorder="1" quotePrefix="0" pivotButton="0"/>
    <xf fontId="7" fillId="4" borderId="2" numFmtId="0" xfId="0" applyFont="1" applyFill="1" applyBorder="1" quotePrefix="0" pivotButton="0"/>
    <xf fontId="7" fillId="4" borderId="2" numFmtId="3" xfId="0" applyNumberFormat="1" applyFont="1" applyFill="1" applyBorder="1" quotePrefix="0" pivotButton="0"/>
    <xf fontId="7" fillId="4" borderId="2" numFmtId="10" xfId="0" applyNumberFormat="1" applyFont="1" applyFill="1" applyBorder="1" quotePrefix="0" pivotButton="0"/>
    <xf fontId="4" fillId="0" borderId="2" numFmtId="0" xfId="0" applyFont="1" applyBorder="1" quotePrefix="0" pivotButton="0"/>
    <xf fontId="5" fillId="0" borderId="2" numFmtId="0" xfId="0" applyFont="1" applyBorder="1" quotePrefix="0" pivotButton="0"/>
    <xf fontId="6" fillId="0" borderId="2" numFmtId="0" xfId="0" applyFont="1" applyBorder="1" quotePrefix="0" pivotButton="0"/>
    <xf fontId="7" fillId="0" borderId="2" numFmtId="0" xfId="0" applyFont="1" applyBorder="1" quotePrefix="0" pivotButton="0"/>
    <xf fontId="7" fillId="0" borderId="2" numFmtId="3" xfId="0" applyNumberFormat="1" applyFont="1" applyBorder="1" quotePrefix="0" pivotButton="0"/>
    <xf fontId="7" fillId="0" borderId="2" numFmtId="10" xfId="0" applyNumberFormat="1" applyFont="1" applyBorder="1" quotePrefix="0" pivotButton="0"/>
    <xf fontId="4" fillId="5" borderId="3" numFmtId="0" xfId="0" applyFont="1" applyFill="1" applyBorder="1" quotePrefix="0" pivotButton="0"/>
    <xf fontId="0" fillId="5" borderId="3" numFmtId="0" xfId="0" applyFill="1" applyBorder="1" quotePrefix="0" pivotButton="0"/>
    <xf fontId="4" fillId="5" borderId="3" numFmtId="3" xfId="0" applyNumberFormat="1" applyFont="1" applyFill="1" applyBorder="1" applyAlignment="1" quotePrefix="0" pivotButton="0">
      <alignment horizontal="center"/>
    </xf>
    <xf fontId="4" fillId="5" borderId="3" numFmtId="164" xfId="0" applyNumberFormat="1" applyFont="1" applyFill="1" applyBorder="1" applyAlignment="1" quotePrefix="0" pivotButton="0">
      <alignment horizontal="center"/>
    </xf>
    <xf fontId="4" fillId="5" borderId="3" numFmtId="10" xfId="0" applyNumberFormat="1" applyFont="1" applyFill="1" applyBorder="1" applyAlignment="1" quotePrefix="0" pivotButton="0">
      <alignment horizontal="center"/>
    </xf>
    <xf fontId="4" fillId="5" borderId="3" numFmtId="0" xfId="0" applyFont="1" applyFill="1" applyBorder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width="15"/>
    <col customWidth="1" min="2" max="2" width="30"/>
    <col customWidth="1" min="3" max="8" width="15"/>
  </cols>
  <sheetData>
    <row r="1" ht="30" customHeight="1">
      <c r="A1" s="1" t="s">
        <v>0</v>
      </c>
    </row>
    <row r="2" ht="20" customHeight="1">
      <c r="A2" s="2"/>
    </row>
    <row r="3" ht="10" customHeight="1"/>
    <row r="4" ht="25" customHeight="1">
      <c r="A4" s="3" t="s">
        <v>1</v>
      </c>
      <c r="B4" s="4" t="s">
        <v>2</v>
      </c>
      <c r="C4" s="4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ht="65" customHeight="1">
      <c r="A5" s="5">
        <v>1</v>
      </c>
      <c r="B5" s="6" t="s">
        <v>9</v>
      </c>
      <c r="C5" s="7" t="s">
        <v>10</v>
      </c>
      <c r="D5" s="8" t="s">
        <v>11</v>
      </c>
      <c r="E5" s="9">
        <v>3226</v>
      </c>
      <c r="F5" s="10">
        <f t="shared" ref="F5:F9" si="0">E5/$E$178</f>
        <v>0.1503121796663871</v>
      </c>
      <c r="G5" s="10">
        <f t="shared" ref="G5:G9" si="1">E5/77429</f>
        <v>0.041663976029652973</v>
      </c>
      <c r="H5" s="10">
        <f>F5</f>
        <v>0.1503121796663871</v>
      </c>
    </row>
    <row r="6" ht="65" customHeight="1">
      <c r="A6" s="11">
        <v>2</v>
      </c>
      <c r="B6" s="12" t="s">
        <v>12</v>
      </c>
      <c r="C6" s="13" t="s">
        <v>13</v>
      </c>
      <c r="D6" s="14" t="s">
        <v>11</v>
      </c>
      <c r="E6" s="15">
        <v>1701</v>
      </c>
      <c r="F6" s="16">
        <f t="shared" si="0"/>
        <v>0.079256360078277882</v>
      </c>
      <c r="G6" s="16">
        <f t="shared" si="1"/>
        <v>0.021968513089410946</v>
      </c>
      <c r="H6" s="16">
        <f t="shared" ref="H6:H9" si="2">H5+F6</f>
        <v>0.22956853974466498</v>
      </c>
    </row>
    <row r="7" ht="65" customHeight="1">
      <c r="A7" s="5">
        <v>3</v>
      </c>
      <c r="B7" s="6" t="s">
        <v>14</v>
      </c>
      <c r="C7" s="7" t="s">
        <v>15</v>
      </c>
      <c r="D7" s="8" t="s">
        <v>16</v>
      </c>
      <c r="E7" s="9">
        <v>1682</v>
      </c>
      <c r="F7" s="10">
        <f t="shared" si="0"/>
        <v>0.078371074457180126</v>
      </c>
      <c r="G7" s="10">
        <f t="shared" si="1"/>
        <v>0.021723126993762026</v>
      </c>
      <c r="H7" s="10">
        <f t="shared" si="2"/>
        <v>0.30793961420184512</v>
      </c>
    </row>
    <row r="8" ht="25" customHeight="1">
      <c r="A8" s="11">
        <v>4</v>
      </c>
      <c r="B8" s="12" t="s">
        <v>17</v>
      </c>
      <c r="C8" s="13" t="s">
        <v>18</v>
      </c>
      <c r="D8" s="14" t="s">
        <v>11</v>
      </c>
      <c r="E8" s="15">
        <v>1445</v>
      </c>
      <c r="F8" s="16">
        <f t="shared" si="0"/>
        <v>0.067328301183487094</v>
      </c>
      <c r="G8" s="16">
        <f t="shared" si="1"/>
        <v>0.018662258326983431</v>
      </c>
      <c r="H8" s="16">
        <f t="shared" si="2"/>
        <v>0.37526791538533222</v>
      </c>
    </row>
    <row r="9" ht="25" customHeight="1">
      <c r="A9" s="5">
        <v>5</v>
      </c>
      <c r="B9" s="6" t="s">
        <v>19</v>
      </c>
      <c r="C9" s="7" t="s">
        <v>20</v>
      </c>
      <c r="D9" s="8" t="s">
        <v>21</v>
      </c>
      <c r="E9" s="9">
        <v>1442</v>
      </c>
      <c r="F9" s="10">
        <f t="shared" si="0"/>
        <v>0.06718851924331376</v>
      </c>
      <c r="G9" s="10">
        <f t="shared" si="1"/>
        <v>0.018623513153986231</v>
      </c>
      <c r="H9" s="10">
        <f t="shared" si="2"/>
        <v>0.44245643462864598</v>
      </c>
    </row>
    <row r="10" ht="25" customHeight="1">
      <c r="A10" s="11">
        <v>6</v>
      </c>
      <c r="B10" s="12" t="s">
        <v>22</v>
      </c>
      <c r="C10" s="13" t="s">
        <v>23</v>
      </c>
      <c r="D10" s="14" t="s">
        <v>24</v>
      </c>
      <c r="E10" s="15">
        <v>1364</v>
      </c>
      <c r="F10" s="16">
        <f t="shared" ref="F10:F73" si="3">E10/$E$178</f>
        <v>0.063554188798807199</v>
      </c>
      <c r="G10" s="16">
        <f t="shared" ref="G10:G73" si="4">E10/77429</f>
        <v>0.017616138656059099</v>
      </c>
      <c r="H10" s="16">
        <f>H9+F10</f>
        <v>0.50601062342745318</v>
      </c>
    </row>
    <row r="11" ht="25" customHeight="1">
      <c r="A11" s="5">
        <v>7</v>
      </c>
      <c r="B11" s="6" t="s">
        <v>25</v>
      </c>
      <c r="C11" s="7" t="s">
        <v>26</v>
      </c>
      <c r="D11" s="8" t="s">
        <v>27</v>
      </c>
      <c r="E11" s="9">
        <v>1266</v>
      </c>
      <c r="F11" s="10">
        <f t="shared" si="3"/>
        <v>0.058987978753145091</v>
      </c>
      <c r="G11" s="10">
        <f t="shared" si="4"/>
        <v>0.016350463004817316</v>
      </c>
      <c r="H11" s="10">
        <f t="shared" ref="H11:H74" si="5">H10+F11</f>
        <v>0.56499860218059827</v>
      </c>
    </row>
    <row r="12" ht="25" customHeight="1">
      <c r="A12" s="11">
        <v>8</v>
      </c>
      <c r="B12" s="12" t="s">
        <v>28</v>
      </c>
      <c r="C12" s="13" t="s">
        <v>29</v>
      </c>
      <c r="D12" s="14" t="s">
        <v>11</v>
      </c>
      <c r="E12" s="15">
        <v>742</v>
      </c>
      <c r="F12" s="16">
        <f t="shared" si="3"/>
        <v>0.034572733202870187</v>
      </c>
      <c r="G12" s="16">
        <f t="shared" si="4"/>
        <v>0.0095829727879734976</v>
      </c>
      <c r="H12" s="16">
        <f t="shared" si="5"/>
        <v>0.59957133538346841</v>
      </c>
    </row>
    <row r="13" ht="25" customHeight="1">
      <c r="A13" s="5">
        <v>9</v>
      </c>
      <c r="B13" s="6" t="s">
        <v>30</v>
      </c>
      <c r="C13" s="7" t="s">
        <v>31</v>
      </c>
      <c r="D13" s="8" t="s">
        <v>32</v>
      </c>
      <c r="E13" s="9">
        <v>606</v>
      </c>
      <c r="F13" s="10">
        <f t="shared" si="3"/>
        <v>0.028235951915012582</v>
      </c>
      <c r="G13" s="10">
        <f t="shared" si="4"/>
        <v>0.0078265249454338819</v>
      </c>
      <c r="H13" s="10">
        <f t="shared" si="5"/>
        <v>0.62780728729848101</v>
      </c>
    </row>
    <row r="14" ht="25" customHeight="1">
      <c r="A14" s="11">
        <v>10</v>
      </c>
      <c r="B14" s="12" t="s">
        <v>33</v>
      </c>
      <c r="C14" s="13" t="s">
        <v>34</v>
      </c>
      <c r="D14" s="14" t="s">
        <v>35</v>
      </c>
      <c r="E14" s="15">
        <v>578</v>
      </c>
      <c r="F14" s="16">
        <f t="shared" si="3"/>
        <v>0.026931320473394839</v>
      </c>
      <c r="G14" s="16">
        <f t="shared" si="4"/>
        <v>0.007464903330793372</v>
      </c>
      <c r="H14" s="16">
        <f t="shared" si="5"/>
        <v>0.65473860777187587</v>
      </c>
    </row>
    <row r="15" ht="25" customHeight="1">
      <c r="A15" s="5">
        <v>11</v>
      </c>
      <c r="B15" s="6" t="s">
        <v>36</v>
      </c>
      <c r="C15" s="7" t="s">
        <v>37</v>
      </c>
      <c r="D15" s="8" t="s">
        <v>38</v>
      </c>
      <c r="E15" s="9">
        <v>578</v>
      </c>
      <c r="F15" s="10">
        <f t="shared" si="3"/>
        <v>0.026931320473394839</v>
      </c>
      <c r="G15" s="10">
        <f t="shared" si="4"/>
        <v>0.007464903330793372</v>
      </c>
      <c r="H15" s="10">
        <f t="shared" si="5"/>
        <v>0.68166992824527073</v>
      </c>
    </row>
    <row r="16" ht="25" customHeight="1">
      <c r="A16" s="11">
        <v>12</v>
      </c>
      <c r="B16" s="12" t="s">
        <v>39</v>
      </c>
      <c r="C16" s="13" t="s">
        <v>40</v>
      </c>
      <c r="D16" s="14" t="s">
        <v>41</v>
      </c>
      <c r="E16" s="15">
        <v>558</v>
      </c>
      <c r="F16" s="16">
        <f t="shared" si="3"/>
        <v>0.025999440872239307</v>
      </c>
      <c r="G16" s="16">
        <f t="shared" si="4"/>
        <v>0.0072066021774787221</v>
      </c>
      <c r="H16" s="16">
        <f t="shared" si="5"/>
        <v>0.70766936911750999</v>
      </c>
    </row>
    <row r="17" ht="25" customHeight="1">
      <c r="A17" s="5">
        <v>13</v>
      </c>
      <c r="B17" s="6" t="s">
        <v>42</v>
      </c>
      <c r="C17" s="7" t="s">
        <v>43</v>
      </c>
      <c r="D17" s="8" t="s">
        <v>44</v>
      </c>
      <c r="E17" s="9">
        <v>520</v>
      </c>
      <c r="F17" s="10">
        <f t="shared" si="3"/>
        <v>0.024228869630043798</v>
      </c>
      <c r="G17" s="10">
        <f t="shared" si="4"/>
        <v>0.0067158299861808882</v>
      </c>
      <c r="H17" s="10">
        <f t="shared" si="5"/>
        <v>0.73189823874755378</v>
      </c>
    </row>
    <row r="18" ht="25" customHeight="1">
      <c r="A18" s="11">
        <v>14</v>
      </c>
      <c r="B18" s="12" t="s">
        <v>45</v>
      </c>
      <c r="C18" s="13" t="s">
        <v>46</v>
      </c>
      <c r="D18" s="14" t="s">
        <v>11</v>
      </c>
      <c r="E18" s="15">
        <v>465</v>
      </c>
      <c r="F18" s="16">
        <f t="shared" si="3"/>
        <v>0.021666200726866088</v>
      </c>
      <c r="G18" s="16">
        <f t="shared" si="4"/>
        <v>0.0060055018145656024</v>
      </c>
      <c r="H18" s="16">
        <f t="shared" si="5"/>
        <v>0.75356443947441987</v>
      </c>
    </row>
    <row r="19" ht="25" customHeight="1">
      <c r="A19" s="5">
        <v>15</v>
      </c>
      <c r="B19" s="6" t="s">
        <v>47</v>
      </c>
      <c r="C19" s="7" t="s">
        <v>48</v>
      </c>
      <c r="D19" s="8" t="s">
        <v>49</v>
      </c>
      <c r="E19" s="9">
        <v>406</v>
      </c>
      <c r="F19" s="10">
        <f t="shared" si="3"/>
        <v>0.018917155903457272</v>
      </c>
      <c r="G19" s="10">
        <f t="shared" si="4"/>
        <v>0.0052435134122873856</v>
      </c>
      <c r="H19" s="10">
        <f t="shared" si="5"/>
        <v>0.77248159537787719</v>
      </c>
    </row>
    <row r="20" ht="25" customHeight="1">
      <c r="A20" s="11">
        <v>16</v>
      </c>
      <c r="B20" s="12" t="s">
        <v>50</v>
      </c>
      <c r="C20" s="13" t="s">
        <v>51</v>
      </c>
      <c r="D20" s="14" t="s">
        <v>16</v>
      </c>
      <c r="E20" s="15">
        <v>362</v>
      </c>
      <c r="F20" s="16">
        <f t="shared" si="3"/>
        <v>0.016867020780915107</v>
      </c>
      <c r="G20" s="16">
        <f t="shared" si="4"/>
        <v>0.0046752508749951568</v>
      </c>
      <c r="H20" s="16">
        <f t="shared" si="5"/>
        <v>0.78934861615879226</v>
      </c>
    </row>
    <row r="21" ht="25" customHeight="1">
      <c r="A21" s="5">
        <v>17</v>
      </c>
      <c r="B21" s="6" t="s">
        <v>52</v>
      </c>
      <c r="C21" s="7" t="s">
        <v>53</v>
      </c>
      <c r="D21" s="8" t="s">
        <v>54</v>
      </c>
      <c r="E21" s="9">
        <v>353</v>
      </c>
      <c r="F21" s="10">
        <f t="shared" si="3"/>
        <v>0.016447674960395117</v>
      </c>
      <c r="G21" s="10">
        <f t="shared" si="4"/>
        <v>0.0045590153560035648</v>
      </c>
      <c r="H21" s="10">
        <f t="shared" si="5"/>
        <v>0.80579629111918738</v>
      </c>
    </row>
    <row r="22" ht="25" customHeight="1">
      <c r="A22" s="11">
        <v>18</v>
      </c>
      <c r="B22" s="12" t="s">
        <v>55</v>
      </c>
      <c r="C22" s="13" t="s">
        <v>56</v>
      </c>
      <c r="D22" s="14" t="s">
        <v>57</v>
      </c>
      <c r="E22" s="15">
        <v>338</v>
      </c>
      <c r="F22" s="16">
        <f t="shared" si="3"/>
        <v>0.01574876525952847</v>
      </c>
      <c r="G22" s="16">
        <f t="shared" si="4"/>
        <v>0.0043652894910175778</v>
      </c>
      <c r="H22" s="16">
        <f t="shared" si="5"/>
        <v>0.82154505637871589</v>
      </c>
    </row>
    <row r="23" ht="25" customHeight="1">
      <c r="A23" s="5">
        <v>19</v>
      </c>
      <c r="B23" s="6" t="s">
        <v>58</v>
      </c>
      <c r="C23" s="7" t="s">
        <v>59</v>
      </c>
      <c r="D23" s="8" t="s">
        <v>44</v>
      </c>
      <c r="E23" s="9">
        <v>317</v>
      </c>
      <c r="F23" s="10">
        <f t="shared" si="3"/>
        <v>0.014770291678315162</v>
      </c>
      <c r="G23" s="10">
        <f t="shared" si="4"/>
        <v>0.004094073280037195</v>
      </c>
      <c r="H23" s="10">
        <f t="shared" si="5"/>
        <v>0.836315348057031</v>
      </c>
    </row>
    <row r="24" ht="25" customHeight="1">
      <c r="A24" s="11">
        <v>20</v>
      </c>
      <c r="B24" s="12" t="s">
        <v>60</v>
      </c>
      <c r="C24" s="13" t="s">
        <v>61</v>
      </c>
      <c r="D24" s="14" t="s">
        <v>57</v>
      </c>
      <c r="E24" s="15">
        <v>280</v>
      </c>
      <c r="F24" s="16">
        <f t="shared" si="3"/>
        <v>0.013046314416177429</v>
      </c>
      <c r="G24" s="16">
        <f t="shared" si="4"/>
        <v>0.0036162161464050936</v>
      </c>
      <c r="H24" s="16">
        <f t="shared" si="5"/>
        <v>0.84936166247320843</v>
      </c>
    </row>
    <row r="25" ht="25" customHeight="1">
      <c r="A25" s="5">
        <v>21</v>
      </c>
      <c r="B25" s="6" t="s">
        <v>62</v>
      </c>
      <c r="C25" s="7" t="s">
        <v>63</v>
      </c>
      <c r="D25" s="8" t="s">
        <v>64</v>
      </c>
      <c r="E25" s="9">
        <v>239</v>
      </c>
      <c r="F25" s="10">
        <f t="shared" si="3"/>
        <v>0.011135961233808592</v>
      </c>
      <c r="G25" s="10">
        <f t="shared" si="4"/>
        <v>0.0030866987821100622</v>
      </c>
      <c r="H25" s="10">
        <f t="shared" si="5"/>
        <v>0.86049762370701699</v>
      </c>
    </row>
    <row r="26" ht="25" customHeight="1">
      <c r="A26" s="11">
        <v>22</v>
      </c>
      <c r="B26" s="12" t="s">
        <v>65</v>
      </c>
      <c r="C26" s="13" t="s">
        <v>66</v>
      </c>
      <c r="D26" s="14" t="s">
        <v>67</v>
      </c>
      <c r="E26" s="15">
        <v>204</v>
      </c>
      <c r="F26" s="16">
        <f t="shared" si="3"/>
        <v>0.0095051719317864134</v>
      </c>
      <c r="G26" s="16">
        <f t="shared" si="4"/>
        <v>0.0026346717638094253</v>
      </c>
      <c r="H26" s="16">
        <f t="shared" si="5"/>
        <v>0.87000279563880345</v>
      </c>
    </row>
    <row r="27" ht="25" customHeight="1">
      <c r="A27" s="5">
        <v>23</v>
      </c>
      <c r="B27" s="6" t="s">
        <v>68</v>
      </c>
      <c r="C27" s="7" t="s">
        <v>69</v>
      </c>
      <c r="D27" s="8" t="s">
        <v>70</v>
      </c>
      <c r="E27" s="9">
        <v>184</v>
      </c>
      <c r="F27" s="10">
        <f t="shared" si="3"/>
        <v>0.0085732923306308818</v>
      </c>
      <c r="G27" s="10">
        <f t="shared" si="4"/>
        <v>0.0023763706104947759</v>
      </c>
      <c r="H27" s="10">
        <f t="shared" si="5"/>
        <v>0.87857608796943432</v>
      </c>
    </row>
    <row r="28" ht="25" customHeight="1">
      <c r="A28" s="11">
        <v>24</v>
      </c>
      <c r="B28" s="12" t="s">
        <v>71</v>
      </c>
      <c r="C28" s="13" t="s">
        <v>72</v>
      </c>
      <c r="D28" s="14" t="s">
        <v>73</v>
      </c>
      <c r="E28" s="15">
        <v>160</v>
      </c>
      <c r="F28" s="16">
        <f t="shared" si="3"/>
        <v>0.0074550368092442454</v>
      </c>
      <c r="G28" s="16">
        <f t="shared" si="4"/>
        <v>0.0020664092265171964</v>
      </c>
      <c r="H28" s="16">
        <f t="shared" si="5"/>
        <v>0.88603112477867851</v>
      </c>
    </row>
    <row r="29" ht="25" customHeight="1">
      <c r="A29" s="5">
        <v>25</v>
      </c>
      <c r="B29" s="6" t="s">
        <v>74</v>
      </c>
      <c r="C29" s="7" t="s">
        <v>75</v>
      </c>
      <c r="D29" s="8" t="s">
        <v>73</v>
      </c>
      <c r="E29" s="9">
        <v>159</v>
      </c>
      <c r="F29" s="10">
        <f t="shared" si="3"/>
        <v>0.0074084428291864689</v>
      </c>
      <c r="G29" s="10">
        <f t="shared" si="4"/>
        <v>0.002053494168851464</v>
      </c>
      <c r="H29" s="10">
        <f t="shared" si="5"/>
        <v>0.89343956760786503</v>
      </c>
    </row>
    <row r="30" ht="25" customHeight="1">
      <c r="A30" s="11">
        <v>26</v>
      </c>
      <c r="B30" s="12" t="s">
        <v>76</v>
      </c>
      <c r="C30" s="13" t="s">
        <v>77</v>
      </c>
      <c r="D30" s="14" t="s">
        <v>78</v>
      </c>
      <c r="E30" s="15">
        <v>890</v>
      </c>
      <c r="F30" s="16">
        <f t="shared" si="3"/>
        <v>0.041468642251421113</v>
      </c>
      <c r="G30" s="16">
        <f t="shared" si="4"/>
        <v>0.011494401322501905</v>
      </c>
      <c r="H30" s="16">
        <f t="shared" si="5"/>
        <v>0.93490820985928613</v>
      </c>
    </row>
    <row r="31" ht="25" customHeight="1">
      <c r="A31" s="5">
        <v>27</v>
      </c>
      <c r="B31" s="6" t="s">
        <v>79</v>
      </c>
      <c r="C31" s="7" t="s">
        <v>80</v>
      </c>
      <c r="D31" s="8" t="s">
        <v>81</v>
      </c>
      <c r="E31" s="9">
        <v>450</v>
      </c>
      <c r="F31" s="10">
        <f t="shared" si="3"/>
        <v>0.020967291025999441</v>
      </c>
      <c r="G31" s="10">
        <f t="shared" si="4"/>
        <v>0.0058117759495796145</v>
      </c>
      <c r="H31" s="10">
        <f t="shared" si="5"/>
        <v>0.95587550088528561</v>
      </c>
    </row>
    <row r="32" ht="25" customHeight="1">
      <c r="A32" s="11">
        <v>28</v>
      </c>
      <c r="B32" s="12" t="s">
        <v>82</v>
      </c>
      <c r="C32" s="13" t="s">
        <v>83</v>
      </c>
      <c r="D32" s="14" t="s">
        <v>84</v>
      </c>
      <c r="E32" s="15">
        <v>18</v>
      </c>
      <c r="F32" s="16">
        <f t="shared" si="3"/>
        <v>0.00083869164103997763</v>
      </c>
      <c r="G32" s="16">
        <f t="shared" si="4"/>
        <v>0.00023247103798318459</v>
      </c>
      <c r="H32" s="16">
        <f t="shared" si="5"/>
        <v>0.95671419252632561</v>
      </c>
    </row>
    <row r="33" ht="25" customHeight="1">
      <c r="A33" s="5">
        <v>29</v>
      </c>
      <c r="B33" s="6" t="s">
        <v>85</v>
      </c>
      <c r="C33" s="7" t="s">
        <v>86</v>
      </c>
      <c r="D33" s="8" t="s">
        <v>87</v>
      </c>
      <c r="E33" s="9">
        <v>18</v>
      </c>
      <c r="F33" s="10">
        <f t="shared" si="3"/>
        <v>0.00083869164103997763</v>
      </c>
      <c r="G33" s="10">
        <f t="shared" si="4"/>
        <v>0.00023247103798318459</v>
      </c>
      <c r="H33" s="10">
        <f t="shared" si="5"/>
        <v>0.95755288416736561</v>
      </c>
    </row>
    <row r="34" ht="25" customHeight="1">
      <c r="A34" s="11">
        <v>30</v>
      </c>
      <c r="B34" s="12" t="s">
        <v>88</v>
      </c>
      <c r="C34" s="13" t="s">
        <v>89</v>
      </c>
      <c r="D34" s="14" t="s">
        <v>87</v>
      </c>
      <c r="E34" s="15">
        <v>18</v>
      </c>
      <c r="F34" s="16">
        <f t="shared" si="3"/>
        <v>0.00083869164103997763</v>
      </c>
      <c r="G34" s="16">
        <f t="shared" si="4"/>
        <v>0.00023247103798318459</v>
      </c>
      <c r="H34" s="16">
        <f t="shared" si="5"/>
        <v>0.95839157580840562</v>
      </c>
    </row>
    <row r="35" ht="25" customHeight="1">
      <c r="A35" s="5">
        <v>31</v>
      </c>
      <c r="B35" s="6" t="s">
        <v>90</v>
      </c>
      <c r="C35" s="7" t="s">
        <v>91</v>
      </c>
      <c r="D35" s="8" t="s">
        <v>87</v>
      </c>
      <c r="E35" s="9">
        <v>18</v>
      </c>
      <c r="F35" s="10">
        <f t="shared" si="3"/>
        <v>0.00083869164103997763</v>
      </c>
      <c r="G35" s="10">
        <f t="shared" si="4"/>
        <v>0.00023247103798318459</v>
      </c>
      <c r="H35" s="10">
        <f t="shared" si="5"/>
        <v>0.95923026744944562</v>
      </c>
    </row>
    <row r="36" ht="25" customHeight="1">
      <c r="A36" s="11">
        <v>32</v>
      </c>
      <c r="B36" s="12" t="s">
        <v>92</v>
      </c>
      <c r="C36" s="13" t="s">
        <v>93</v>
      </c>
      <c r="D36" s="14" t="s">
        <v>87</v>
      </c>
      <c r="E36" s="15">
        <v>18</v>
      </c>
      <c r="F36" s="16">
        <f t="shared" si="3"/>
        <v>0.00083869164103997763</v>
      </c>
      <c r="G36" s="16">
        <f t="shared" si="4"/>
        <v>0.00023247103798318459</v>
      </c>
      <c r="H36" s="16">
        <f t="shared" si="5"/>
        <v>0.96006895909048562</v>
      </c>
    </row>
    <row r="37" ht="25" customHeight="1">
      <c r="A37" s="5">
        <v>33</v>
      </c>
      <c r="B37" s="6" t="s">
        <v>94</v>
      </c>
      <c r="C37" s="7" t="s">
        <v>95</v>
      </c>
      <c r="D37" s="8" t="s">
        <v>96</v>
      </c>
      <c r="E37" s="9">
        <v>18</v>
      </c>
      <c r="F37" s="10">
        <f t="shared" si="3"/>
        <v>0.00083869164103997763</v>
      </c>
      <c r="G37" s="10">
        <f t="shared" si="4"/>
        <v>0.00023247103798318459</v>
      </c>
      <c r="H37" s="10">
        <f t="shared" si="5"/>
        <v>0.96090765073152562</v>
      </c>
    </row>
    <row r="38" ht="25" customHeight="1">
      <c r="A38" s="11">
        <v>34</v>
      </c>
      <c r="B38" s="12" t="s">
        <v>97</v>
      </c>
      <c r="C38" s="13" t="s">
        <v>98</v>
      </c>
      <c r="D38" s="14" t="s">
        <v>99</v>
      </c>
      <c r="E38" s="15">
        <v>18</v>
      </c>
      <c r="F38" s="16">
        <f t="shared" si="3"/>
        <v>0.00083869164103997763</v>
      </c>
      <c r="G38" s="16">
        <f t="shared" si="4"/>
        <v>0.00023247103798318459</v>
      </c>
      <c r="H38" s="16">
        <f t="shared" si="5"/>
        <v>0.96174634237256562</v>
      </c>
    </row>
    <row r="39" ht="25" customHeight="1">
      <c r="A39" s="5">
        <v>35</v>
      </c>
      <c r="B39" s="6" t="s">
        <v>100</v>
      </c>
      <c r="C39" s="7" t="s">
        <v>101</v>
      </c>
      <c r="D39" s="8" t="s">
        <v>102</v>
      </c>
      <c r="E39" s="9">
        <v>18</v>
      </c>
      <c r="F39" s="10">
        <f t="shared" si="3"/>
        <v>0.00083869164103997763</v>
      </c>
      <c r="G39" s="10">
        <f t="shared" si="4"/>
        <v>0.00023247103798318459</v>
      </c>
      <c r="H39" s="10">
        <f t="shared" si="5"/>
        <v>0.96258503401360562</v>
      </c>
    </row>
    <row r="40" ht="25" customHeight="1">
      <c r="A40" s="11">
        <v>36</v>
      </c>
      <c r="B40" s="12" t="s">
        <v>103</v>
      </c>
      <c r="C40" s="13" t="s">
        <v>104</v>
      </c>
      <c r="D40" s="14" t="s">
        <v>105</v>
      </c>
      <c r="E40" s="15">
        <v>18</v>
      </c>
      <c r="F40" s="16">
        <f t="shared" si="3"/>
        <v>0.00083869164103997763</v>
      </c>
      <c r="G40" s="16">
        <f t="shared" si="4"/>
        <v>0.00023247103798318459</v>
      </c>
      <c r="H40" s="16">
        <f t="shared" si="5"/>
        <v>0.96342372565464562</v>
      </c>
    </row>
    <row r="41" ht="25" customHeight="1">
      <c r="A41" s="5">
        <v>37</v>
      </c>
      <c r="B41" s="6" t="s">
        <v>106</v>
      </c>
      <c r="C41" s="7" t="s">
        <v>107</v>
      </c>
      <c r="D41" s="8" t="s">
        <v>108</v>
      </c>
      <c r="E41" s="9">
        <v>18</v>
      </c>
      <c r="F41" s="10">
        <f t="shared" si="3"/>
        <v>0.00083869164103997763</v>
      </c>
      <c r="G41" s="10">
        <f t="shared" si="4"/>
        <v>0.00023247103798318459</v>
      </c>
      <c r="H41" s="10">
        <f t="shared" si="5"/>
        <v>0.96426241729568563</v>
      </c>
    </row>
    <row r="42" ht="25" customHeight="1">
      <c r="A42" s="11">
        <v>38</v>
      </c>
      <c r="B42" s="12" t="s">
        <v>109</v>
      </c>
      <c r="C42" s="13" t="s">
        <v>110</v>
      </c>
      <c r="D42" s="14" t="s">
        <v>111</v>
      </c>
      <c r="E42" s="15">
        <v>18</v>
      </c>
      <c r="F42" s="16">
        <f t="shared" si="3"/>
        <v>0.00083869164103997763</v>
      </c>
      <c r="G42" s="16">
        <f t="shared" si="4"/>
        <v>0.00023247103798318459</v>
      </c>
      <c r="H42" s="16">
        <f t="shared" si="5"/>
        <v>0.96510110893672563</v>
      </c>
    </row>
    <row r="43" ht="25" customHeight="1">
      <c r="A43" s="5">
        <v>39</v>
      </c>
      <c r="B43" s="6" t="s">
        <v>112</v>
      </c>
      <c r="C43" s="7" t="s">
        <v>113</v>
      </c>
      <c r="D43" s="8" t="s">
        <v>114</v>
      </c>
      <c r="E43" s="9">
        <v>18</v>
      </c>
      <c r="F43" s="10">
        <f t="shared" si="3"/>
        <v>0.00083869164103997763</v>
      </c>
      <c r="G43" s="10">
        <f t="shared" si="4"/>
        <v>0.00023247103798318459</v>
      </c>
      <c r="H43" s="10">
        <f t="shared" si="5"/>
        <v>0.96593980057776563</v>
      </c>
    </row>
    <row r="44" ht="25" customHeight="1">
      <c r="A44" s="11">
        <v>40</v>
      </c>
      <c r="B44" s="12" t="s">
        <v>115</v>
      </c>
      <c r="C44" s="13" t="s">
        <v>116</v>
      </c>
      <c r="D44" s="14" t="s">
        <v>117</v>
      </c>
      <c r="E44" s="15">
        <v>18</v>
      </c>
      <c r="F44" s="16">
        <f t="shared" si="3"/>
        <v>0.00083869164103997763</v>
      </c>
      <c r="G44" s="16">
        <f t="shared" si="4"/>
        <v>0.00023247103798318459</v>
      </c>
      <c r="H44" s="16">
        <f t="shared" si="5"/>
        <v>0.96677849221880563</v>
      </c>
    </row>
    <row r="45" ht="25" customHeight="1">
      <c r="A45" s="5">
        <v>41</v>
      </c>
      <c r="B45" s="6" t="s">
        <v>118</v>
      </c>
      <c r="C45" s="7" t="s">
        <v>119</v>
      </c>
      <c r="D45" s="8" t="s">
        <v>57</v>
      </c>
      <c r="E45" s="9">
        <v>18</v>
      </c>
      <c r="F45" s="10">
        <f t="shared" si="3"/>
        <v>0.00083869164103997763</v>
      </c>
      <c r="G45" s="10">
        <f t="shared" si="4"/>
        <v>0.00023247103798318459</v>
      </c>
      <c r="H45" s="10">
        <f t="shared" si="5"/>
        <v>0.96761718385984563</v>
      </c>
    </row>
    <row r="46" ht="25" customHeight="1">
      <c r="A46" s="11">
        <v>42</v>
      </c>
      <c r="B46" s="12" t="s">
        <v>120</v>
      </c>
      <c r="C46" s="13" t="s">
        <v>121</v>
      </c>
      <c r="D46" s="14" t="s">
        <v>122</v>
      </c>
      <c r="E46" s="15">
        <v>18</v>
      </c>
      <c r="F46" s="16">
        <f t="shared" si="3"/>
        <v>0.00083869164103997763</v>
      </c>
      <c r="G46" s="16">
        <f t="shared" si="4"/>
        <v>0.00023247103798318459</v>
      </c>
      <c r="H46" s="16">
        <f t="shared" si="5"/>
        <v>0.96845587550088563</v>
      </c>
    </row>
    <row r="47" ht="25" customHeight="1">
      <c r="A47" s="5">
        <v>43</v>
      </c>
      <c r="B47" s="6" t="s">
        <v>123</v>
      </c>
      <c r="C47" s="7" t="s">
        <v>124</v>
      </c>
      <c r="D47" s="8" t="s">
        <v>125</v>
      </c>
      <c r="E47" s="9">
        <v>18</v>
      </c>
      <c r="F47" s="10">
        <f t="shared" si="3"/>
        <v>0.00083869164103997763</v>
      </c>
      <c r="G47" s="10">
        <f t="shared" si="4"/>
        <v>0.00023247103798318459</v>
      </c>
      <c r="H47" s="10">
        <f t="shared" si="5"/>
        <v>0.96929456714192563</v>
      </c>
    </row>
    <row r="48" ht="25" customHeight="1">
      <c r="A48" s="11">
        <v>44</v>
      </c>
      <c r="B48" s="12" t="s">
        <v>126</v>
      </c>
      <c r="C48" s="13" t="s">
        <v>127</v>
      </c>
      <c r="D48" s="14" t="s">
        <v>128</v>
      </c>
      <c r="E48" s="15">
        <v>18</v>
      </c>
      <c r="F48" s="16">
        <f t="shared" si="3"/>
        <v>0.00083869164103997763</v>
      </c>
      <c r="G48" s="16">
        <f t="shared" si="4"/>
        <v>0.00023247103798318459</v>
      </c>
      <c r="H48" s="16">
        <f t="shared" si="5"/>
        <v>0.97013325878296564</v>
      </c>
    </row>
    <row r="49" ht="25" customHeight="1">
      <c r="A49" s="5">
        <v>45</v>
      </c>
      <c r="B49" s="6" t="s">
        <v>129</v>
      </c>
      <c r="C49" s="7" t="s">
        <v>130</v>
      </c>
      <c r="D49" s="8" t="s">
        <v>131</v>
      </c>
      <c r="E49" s="9">
        <v>18</v>
      </c>
      <c r="F49" s="10">
        <f t="shared" si="3"/>
        <v>0.00083869164103997763</v>
      </c>
      <c r="G49" s="10">
        <f t="shared" si="4"/>
        <v>0.00023247103798318459</v>
      </c>
      <c r="H49" s="10">
        <f t="shared" si="5"/>
        <v>0.97097195042400564</v>
      </c>
    </row>
    <row r="50" ht="25" customHeight="1">
      <c r="A50" s="11">
        <v>46</v>
      </c>
      <c r="B50" s="12" t="s">
        <v>132</v>
      </c>
      <c r="C50" s="13" t="s">
        <v>133</v>
      </c>
      <c r="D50" s="14" t="s">
        <v>134</v>
      </c>
      <c r="E50" s="15">
        <v>18</v>
      </c>
      <c r="F50" s="16">
        <f t="shared" si="3"/>
        <v>0.00083869164103997763</v>
      </c>
      <c r="G50" s="16">
        <f t="shared" si="4"/>
        <v>0.00023247103798318459</v>
      </c>
      <c r="H50" s="16">
        <f t="shared" si="5"/>
        <v>0.97181064206504564</v>
      </c>
    </row>
    <row r="51" ht="25" customHeight="1">
      <c r="A51" s="5">
        <v>47</v>
      </c>
      <c r="B51" s="6" t="s">
        <v>135</v>
      </c>
      <c r="C51" s="7" t="s">
        <v>136</v>
      </c>
      <c r="D51" s="8" t="s">
        <v>134</v>
      </c>
      <c r="E51" s="9">
        <v>18</v>
      </c>
      <c r="F51" s="10">
        <f t="shared" si="3"/>
        <v>0.00083869164103997763</v>
      </c>
      <c r="G51" s="10">
        <f t="shared" si="4"/>
        <v>0.00023247103798318459</v>
      </c>
      <c r="H51" s="10">
        <f t="shared" si="5"/>
        <v>0.97264933370608564</v>
      </c>
    </row>
    <row r="52" ht="25" customHeight="1">
      <c r="A52" s="11">
        <v>48</v>
      </c>
      <c r="B52" s="12" t="s">
        <v>137</v>
      </c>
      <c r="C52" s="13" t="s">
        <v>138</v>
      </c>
      <c r="D52" s="14" t="s">
        <v>139</v>
      </c>
      <c r="E52" s="15">
        <v>8</v>
      </c>
      <c r="F52" s="16">
        <f t="shared" si="3"/>
        <v>0.0003727518404622123</v>
      </c>
      <c r="G52" s="16">
        <f t="shared" si="4"/>
        <v>0.00010332046132585982</v>
      </c>
      <c r="H52" s="16">
        <f t="shared" si="5"/>
        <v>0.9730220855465479</v>
      </c>
    </row>
    <row r="53" ht="25" customHeight="1">
      <c r="A53" s="5">
        <v>49</v>
      </c>
      <c r="B53" s="6" t="s">
        <v>140</v>
      </c>
      <c r="C53" s="7" t="s">
        <v>141</v>
      </c>
      <c r="D53" s="8" t="s">
        <v>142</v>
      </c>
      <c r="E53" s="9">
        <v>8</v>
      </c>
      <c r="F53" s="10">
        <f t="shared" si="3"/>
        <v>0.0003727518404622123</v>
      </c>
      <c r="G53" s="10">
        <f t="shared" si="4"/>
        <v>0.00010332046132585982</v>
      </c>
      <c r="H53" s="10">
        <f t="shared" si="5"/>
        <v>0.97339483738701016</v>
      </c>
    </row>
    <row r="54" ht="25" customHeight="1">
      <c r="A54" s="11">
        <v>50</v>
      </c>
      <c r="B54" s="12" t="s">
        <v>143</v>
      </c>
      <c r="C54" s="13" t="s">
        <v>144</v>
      </c>
      <c r="D54" s="14" t="s">
        <v>145</v>
      </c>
      <c r="E54" s="15">
        <v>8</v>
      </c>
      <c r="F54" s="16">
        <f t="shared" si="3"/>
        <v>0.0003727518404622123</v>
      </c>
      <c r="G54" s="16">
        <f t="shared" si="4"/>
        <v>0.00010332046132585982</v>
      </c>
      <c r="H54" s="16">
        <f t="shared" si="5"/>
        <v>0.97376758922747242</v>
      </c>
    </row>
    <row r="55" ht="25" customHeight="1">
      <c r="A55" s="5">
        <v>51</v>
      </c>
      <c r="B55" s="6" t="s">
        <v>146</v>
      </c>
      <c r="C55" s="7" t="s">
        <v>147</v>
      </c>
      <c r="D55" s="8" t="s">
        <v>148</v>
      </c>
      <c r="E55" s="9">
        <v>8</v>
      </c>
      <c r="F55" s="10">
        <f t="shared" si="3"/>
        <v>0.0003727518404622123</v>
      </c>
      <c r="G55" s="10">
        <f t="shared" si="4"/>
        <v>0.00010332046132585982</v>
      </c>
      <c r="H55" s="10">
        <f t="shared" si="5"/>
        <v>0.97414034106793468</v>
      </c>
    </row>
    <row r="56" ht="25" customHeight="1">
      <c r="A56" s="11">
        <v>52</v>
      </c>
      <c r="B56" s="12" t="s">
        <v>149</v>
      </c>
      <c r="C56" s="13" t="s">
        <v>150</v>
      </c>
      <c r="D56" s="14" t="s">
        <v>151</v>
      </c>
      <c r="E56" s="15">
        <v>8</v>
      </c>
      <c r="F56" s="16">
        <f t="shared" si="3"/>
        <v>0.0003727518404622123</v>
      </c>
      <c r="G56" s="16">
        <f t="shared" si="4"/>
        <v>0.00010332046132585982</v>
      </c>
      <c r="H56" s="16">
        <f t="shared" si="5"/>
        <v>0.97451309290839694</v>
      </c>
    </row>
    <row r="57" ht="25" customHeight="1">
      <c r="A57" s="5">
        <v>53</v>
      </c>
      <c r="B57" s="6" t="s">
        <v>152</v>
      </c>
      <c r="C57" s="7" t="s">
        <v>153</v>
      </c>
      <c r="D57" s="8" t="s">
        <v>154</v>
      </c>
      <c r="E57" s="9">
        <v>8</v>
      </c>
      <c r="F57" s="10">
        <f t="shared" si="3"/>
        <v>0.0003727518404622123</v>
      </c>
      <c r="G57" s="10">
        <f t="shared" si="4"/>
        <v>0.00010332046132585982</v>
      </c>
      <c r="H57" s="10">
        <f t="shared" si="5"/>
        <v>0.9748858447488592</v>
      </c>
    </row>
    <row r="58" ht="25" customHeight="1">
      <c r="A58" s="11">
        <v>54</v>
      </c>
      <c r="B58" s="12" t="s">
        <v>155</v>
      </c>
      <c r="C58" s="13" t="s">
        <v>156</v>
      </c>
      <c r="D58" s="14" t="s">
        <v>157</v>
      </c>
      <c r="E58" s="15">
        <v>8</v>
      </c>
      <c r="F58" s="16">
        <f t="shared" si="3"/>
        <v>0.0003727518404622123</v>
      </c>
      <c r="G58" s="16">
        <f t="shared" si="4"/>
        <v>0.00010332046132585982</v>
      </c>
      <c r="H58" s="16">
        <f t="shared" si="5"/>
        <v>0.97525859658932146</v>
      </c>
    </row>
    <row r="59" ht="25" customHeight="1">
      <c r="A59" s="5">
        <v>55</v>
      </c>
      <c r="B59" s="6" t="s">
        <v>158</v>
      </c>
      <c r="C59" s="7" t="s">
        <v>159</v>
      </c>
      <c r="D59" s="8" t="s">
        <v>160</v>
      </c>
      <c r="E59" s="9">
        <v>8</v>
      </c>
      <c r="F59" s="10">
        <f t="shared" si="3"/>
        <v>0.0003727518404622123</v>
      </c>
      <c r="G59" s="10">
        <f t="shared" si="4"/>
        <v>0.00010332046132585982</v>
      </c>
      <c r="H59" s="10">
        <f t="shared" si="5"/>
        <v>0.97563134842978372</v>
      </c>
    </row>
    <row r="60" ht="25" customHeight="1">
      <c r="A60" s="11">
        <v>56</v>
      </c>
      <c r="B60" s="12" t="s">
        <v>161</v>
      </c>
      <c r="C60" s="13" t="s">
        <v>162</v>
      </c>
      <c r="D60" s="14" t="s">
        <v>163</v>
      </c>
      <c r="E60" s="15">
        <v>8</v>
      </c>
      <c r="F60" s="16">
        <f t="shared" si="3"/>
        <v>0.0003727518404622123</v>
      </c>
      <c r="G60" s="16">
        <f t="shared" si="4"/>
        <v>0.00010332046132585982</v>
      </c>
      <c r="H60" s="16">
        <f t="shared" si="5"/>
        <v>0.97600410027024598</v>
      </c>
    </row>
    <row r="61" ht="25" customHeight="1">
      <c r="A61" s="5">
        <v>57</v>
      </c>
      <c r="B61" s="6" t="s">
        <v>164</v>
      </c>
      <c r="C61" s="7" t="s">
        <v>165</v>
      </c>
      <c r="D61" s="8" t="s">
        <v>166</v>
      </c>
      <c r="E61" s="9">
        <v>8</v>
      </c>
      <c r="F61" s="10">
        <f t="shared" si="3"/>
        <v>0.0003727518404622123</v>
      </c>
      <c r="G61" s="10">
        <f t="shared" si="4"/>
        <v>0.00010332046132585982</v>
      </c>
      <c r="H61" s="10">
        <f t="shared" si="5"/>
        <v>0.97637685211070824</v>
      </c>
    </row>
    <row r="62" ht="25" customHeight="1">
      <c r="A62" s="11">
        <v>58</v>
      </c>
      <c r="B62" s="12" t="s">
        <v>167</v>
      </c>
      <c r="C62" s="13" t="s">
        <v>168</v>
      </c>
      <c r="D62" s="14" t="s">
        <v>169</v>
      </c>
      <c r="E62" s="15">
        <v>8</v>
      </c>
      <c r="F62" s="16">
        <f t="shared" si="3"/>
        <v>0.0003727518404622123</v>
      </c>
      <c r="G62" s="16">
        <f t="shared" si="4"/>
        <v>0.00010332046132585982</v>
      </c>
      <c r="H62" s="16">
        <f t="shared" si="5"/>
        <v>0.9767496039511705</v>
      </c>
    </row>
    <row r="63" ht="25" customHeight="1">
      <c r="A63" s="5">
        <v>59</v>
      </c>
      <c r="B63" s="6" t="s">
        <v>170</v>
      </c>
      <c r="C63" s="7" t="s">
        <v>171</v>
      </c>
      <c r="D63" s="8" t="s">
        <v>172</v>
      </c>
      <c r="E63" s="9">
        <v>8</v>
      </c>
      <c r="F63" s="10">
        <f t="shared" si="3"/>
        <v>0.0003727518404622123</v>
      </c>
      <c r="G63" s="10">
        <f t="shared" si="4"/>
        <v>0.00010332046132585982</v>
      </c>
      <c r="H63" s="10">
        <f t="shared" si="5"/>
        <v>0.97712235579163276</v>
      </c>
    </row>
    <row r="64" ht="25" customHeight="1">
      <c r="A64" s="11">
        <v>60</v>
      </c>
      <c r="B64" s="12" t="s">
        <v>173</v>
      </c>
      <c r="C64" s="13" t="s">
        <v>174</v>
      </c>
      <c r="D64" s="14" t="s">
        <v>67</v>
      </c>
      <c r="E64" s="15">
        <v>8</v>
      </c>
      <c r="F64" s="16">
        <f t="shared" si="3"/>
        <v>0.0003727518404622123</v>
      </c>
      <c r="G64" s="16">
        <f t="shared" si="4"/>
        <v>0.00010332046132585982</v>
      </c>
      <c r="H64" s="16">
        <f t="shared" si="5"/>
        <v>0.97749510763209502</v>
      </c>
    </row>
    <row r="65" ht="25" customHeight="1">
      <c r="A65" s="5">
        <v>61</v>
      </c>
      <c r="B65" s="6" t="s">
        <v>175</v>
      </c>
      <c r="C65" s="7" t="s">
        <v>176</v>
      </c>
      <c r="D65" s="8" t="s">
        <v>172</v>
      </c>
      <c r="E65" s="9">
        <v>8</v>
      </c>
      <c r="F65" s="10">
        <f t="shared" si="3"/>
        <v>0.0003727518404622123</v>
      </c>
      <c r="G65" s="10">
        <f t="shared" si="4"/>
        <v>0.00010332046132585982</v>
      </c>
      <c r="H65" s="10">
        <f t="shared" si="5"/>
        <v>0.97786785947255728</v>
      </c>
    </row>
    <row r="66" ht="25" customHeight="1">
      <c r="A66" s="11">
        <v>62</v>
      </c>
      <c r="B66" s="12" t="s">
        <v>177</v>
      </c>
      <c r="C66" s="13" t="s">
        <v>178</v>
      </c>
      <c r="D66" s="14" t="s">
        <v>179</v>
      </c>
      <c r="E66" s="15">
        <v>8</v>
      </c>
      <c r="F66" s="16">
        <f t="shared" si="3"/>
        <v>0.0003727518404622123</v>
      </c>
      <c r="G66" s="16">
        <f t="shared" si="4"/>
        <v>0.00010332046132585982</v>
      </c>
      <c r="H66" s="16">
        <f t="shared" si="5"/>
        <v>0.97824061131301954</v>
      </c>
    </row>
    <row r="67" ht="25" customHeight="1">
      <c r="A67" s="5">
        <v>63</v>
      </c>
      <c r="B67" s="6" t="s">
        <v>180</v>
      </c>
      <c r="C67" s="7" t="s">
        <v>181</v>
      </c>
      <c r="D67" s="8" t="s">
        <v>182</v>
      </c>
      <c r="E67" s="9">
        <v>8</v>
      </c>
      <c r="F67" s="10">
        <f t="shared" si="3"/>
        <v>0.0003727518404622123</v>
      </c>
      <c r="G67" s="10">
        <f t="shared" si="4"/>
        <v>0.00010332046132585982</v>
      </c>
      <c r="H67" s="10">
        <f t="shared" si="5"/>
        <v>0.9786133631534818</v>
      </c>
    </row>
    <row r="68" ht="25" customHeight="1">
      <c r="A68" s="11">
        <v>64</v>
      </c>
      <c r="B68" s="12" t="s">
        <v>183</v>
      </c>
      <c r="C68" s="13" t="s">
        <v>184</v>
      </c>
      <c r="D68" s="14" t="s">
        <v>185</v>
      </c>
      <c r="E68" s="15">
        <v>8</v>
      </c>
      <c r="F68" s="16">
        <f t="shared" si="3"/>
        <v>0.0003727518404622123</v>
      </c>
      <c r="G68" s="16">
        <f t="shared" si="4"/>
        <v>0.00010332046132585982</v>
      </c>
      <c r="H68" s="16">
        <f t="shared" si="5"/>
        <v>0.97898611499394406</v>
      </c>
    </row>
    <row r="69" ht="25" customHeight="1">
      <c r="A69" s="5">
        <v>65</v>
      </c>
      <c r="B69" s="6" t="s">
        <v>186</v>
      </c>
      <c r="C69" s="7" t="s">
        <v>187</v>
      </c>
      <c r="D69" s="8" t="s">
        <v>188</v>
      </c>
      <c r="E69" s="9">
        <v>8</v>
      </c>
      <c r="F69" s="10">
        <f t="shared" si="3"/>
        <v>0.0003727518404622123</v>
      </c>
      <c r="G69" s="10">
        <f t="shared" si="4"/>
        <v>0.00010332046132585982</v>
      </c>
      <c r="H69" s="10">
        <f t="shared" si="5"/>
        <v>0.97935886683440632</v>
      </c>
    </row>
    <row r="70" ht="25" customHeight="1">
      <c r="A70" s="11">
        <v>66</v>
      </c>
      <c r="B70" s="12" t="s">
        <v>189</v>
      </c>
      <c r="C70" s="13" t="s">
        <v>190</v>
      </c>
      <c r="D70" s="14" t="s">
        <v>188</v>
      </c>
      <c r="E70" s="15">
        <v>8</v>
      </c>
      <c r="F70" s="16">
        <f t="shared" si="3"/>
        <v>0.0003727518404622123</v>
      </c>
      <c r="G70" s="16">
        <f t="shared" si="4"/>
        <v>0.00010332046132585982</v>
      </c>
      <c r="H70" s="16">
        <f t="shared" si="5"/>
        <v>0.97973161867486858</v>
      </c>
    </row>
    <row r="71" ht="25" customHeight="1">
      <c r="A71" s="5">
        <v>67</v>
      </c>
      <c r="B71" s="6" t="s">
        <v>191</v>
      </c>
      <c r="C71" s="7" t="s">
        <v>192</v>
      </c>
      <c r="D71" s="8" t="s">
        <v>188</v>
      </c>
      <c r="E71" s="9">
        <v>8</v>
      </c>
      <c r="F71" s="10">
        <f t="shared" si="3"/>
        <v>0.0003727518404622123</v>
      </c>
      <c r="G71" s="10">
        <f t="shared" si="4"/>
        <v>0.00010332046132585982</v>
      </c>
      <c r="H71" s="10">
        <f t="shared" si="5"/>
        <v>0.98010437051533084</v>
      </c>
    </row>
    <row r="72" ht="25" customHeight="1">
      <c r="A72" s="11">
        <v>68</v>
      </c>
      <c r="B72" s="12" t="s">
        <v>193</v>
      </c>
      <c r="C72" s="13" t="s">
        <v>194</v>
      </c>
      <c r="D72" s="14" t="s">
        <v>188</v>
      </c>
      <c r="E72" s="15">
        <v>8</v>
      </c>
      <c r="F72" s="16">
        <f t="shared" si="3"/>
        <v>0.0003727518404622123</v>
      </c>
      <c r="G72" s="16">
        <f t="shared" si="4"/>
        <v>0.00010332046132585982</v>
      </c>
      <c r="H72" s="16">
        <f t="shared" si="5"/>
        <v>0.9804771223557931</v>
      </c>
    </row>
    <row r="73" ht="25" customHeight="1">
      <c r="A73" s="5">
        <v>69</v>
      </c>
      <c r="B73" s="6" t="s">
        <v>195</v>
      </c>
      <c r="C73" s="7" t="s">
        <v>196</v>
      </c>
      <c r="D73" s="8" t="s">
        <v>125</v>
      </c>
      <c r="E73" s="9">
        <v>8</v>
      </c>
      <c r="F73" s="10">
        <f t="shared" si="3"/>
        <v>0.0003727518404622123</v>
      </c>
      <c r="G73" s="10">
        <f t="shared" si="4"/>
        <v>0.00010332046132585982</v>
      </c>
      <c r="H73" s="10">
        <f t="shared" si="5"/>
        <v>0.98084987419625536</v>
      </c>
    </row>
    <row r="74" ht="25" customHeight="1">
      <c r="A74" s="11">
        <v>70</v>
      </c>
      <c r="B74" s="12" t="s">
        <v>197</v>
      </c>
      <c r="C74" s="13" t="s">
        <v>198</v>
      </c>
      <c r="D74" s="14" t="s">
        <v>199</v>
      </c>
      <c r="E74" s="15">
        <v>8</v>
      </c>
      <c r="F74" s="16">
        <f t="shared" ref="F74:F99" si="6">E74/$E$178</f>
        <v>0.0003727518404622123</v>
      </c>
      <c r="G74" s="16">
        <f t="shared" ref="G74:G99" si="7">E74/77429</f>
        <v>0.00010332046132585982</v>
      </c>
      <c r="H74" s="16">
        <f t="shared" si="5"/>
        <v>0.98122262603671762</v>
      </c>
    </row>
    <row r="75" ht="25" customHeight="1">
      <c r="A75" s="5">
        <v>71</v>
      </c>
      <c r="B75" s="6" t="s">
        <v>200</v>
      </c>
      <c r="C75" s="7" t="s">
        <v>201</v>
      </c>
      <c r="D75" s="8" t="s">
        <v>125</v>
      </c>
      <c r="E75" s="9">
        <v>8</v>
      </c>
      <c r="F75" s="10">
        <f t="shared" si="6"/>
        <v>0.0003727518404622123</v>
      </c>
      <c r="G75" s="10">
        <f t="shared" si="7"/>
        <v>0.00010332046132585982</v>
      </c>
      <c r="H75" s="10">
        <f t="shared" ref="H75:H99" si="8">H74+F75</f>
        <v>0.98159537787717988</v>
      </c>
    </row>
    <row r="76" ht="25" customHeight="1">
      <c r="A76" s="11">
        <v>72</v>
      </c>
      <c r="B76" s="12" t="s">
        <v>202</v>
      </c>
      <c r="C76" s="13" t="s">
        <v>203</v>
      </c>
      <c r="D76" s="14" t="s">
        <v>204</v>
      </c>
      <c r="E76" s="15">
        <v>8</v>
      </c>
      <c r="F76" s="16">
        <f t="shared" si="6"/>
        <v>0.0003727518404622123</v>
      </c>
      <c r="G76" s="16">
        <f t="shared" si="7"/>
        <v>0.00010332046132585982</v>
      </c>
      <c r="H76" s="16">
        <f t="shared" si="8"/>
        <v>0.98196812971764214</v>
      </c>
    </row>
    <row r="77" ht="25" customHeight="1">
      <c r="A77" s="5">
        <v>73</v>
      </c>
      <c r="B77" s="6" t="s">
        <v>205</v>
      </c>
      <c r="C77" s="7" t="s">
        <v>206</v>
      </c>
      <c r="D77" s="8" t="s">
        <v>207</v>
      </c>
      <c r="E77" s="9">
        <v>8</v>
      </c>
      <c r="F77" s="10">
        <f t="shared" si="6"/>
        <v>0.0003727518404622123</v>
      </c>
      <c r="G77" s="10">
        <f t="shared" si="7"/>
        <v>0.00010332046132585982</v>
      </c>
      <c r="H77" s="10">
        <f t="shared" si="8"/>
        <v>0.9823408815581044</v>
      </c>
    </row>
    <row r="78" ht="25" customHeight="1">
      <c r="A78" s="11">
        <v>74</v>
      </c>
      <c r="B78" s="12" t="s">
        <v>208</v>
      </c>
      <c r="C78" s="13" t="s">
        <v>209</v>
      </c>
      <c r="D78" s="14" t="s">
        <v>210</v>
      </c>
      <c r="E78" s="15">
        <v>8</v>
      </c>
      <c r="F78" s="16">
        <f t="shared" si="6"/>
        <v>0.0003727518404622123</v>
      </c>
      <c r="G78" s="16">
        <f t="shared" si="7"/>
        <v>0.00010332046132585982</v>
      </c>
      <c r="H78" s="16">
        <f t="shared" si="8"/>
        <v>0.98271363339856665</v>
      </c>
    </row>
    <row r="79" ht="25" customHeight="1">
      <c r="A79" s="5">
        <v>75</v>
      </c>
      <c r="B79" s="6" t="s">
        <v>211</v>
      </c>
      <c r="C79" s="7" t="s">
        <v>212</v>
      </c>
      <c r="D79" s="8" t="s">
        <v>213</v>
      </c>
      <c r="E79" s="9">
        <v>8</v>
      </c>
      <c r="F79" s="10">
        <f t="shared" si="6"/>
        <v>0.0003727518404622123</v>
      </c>
      <c r="G79" s="10">
        <f t="shared" si="7"/>
        <v>0.00010332046132585982</v>
      </c>
      <c r="H79" s="10">
        <f t="shared" si="8"/>
        <v>0.98308638523902891</v>
      </c>
    </row>
    <row r="80" ht="25" customHeight="1">
      <c r="A80" s="11">
        <v>76</v>
      </c>
      <c r="B80" s="12" t="s">
        <v>214</v>
      </c>
      <c r="C80" s="13" t="s">
        <v>215</v>
      </c>
      <c r="D80" s="14" t="s">
        <v>213</v>
      </c>
      <c r="E80" s="15">
        <v>8</v>
      </c>
      <c r="F80" s="16">
        <f t="shared" si="6"/>
        <v>0.0003727518404622123</v>
      </c>
      <c r="G80" s="16">
        <f t="shared" si="7"/>
        <v>0.00010332046132585982</v>
      </c>
      <c r="H80" s="16">
        <f t="shared" si="8"/>
        <v>0.98345913707949117</v>
      </c>
    </row>
    <row r="81" ht="25" customHeight="1">
      <c r="A81" s="5">
        <v>77</v>
      </c>
      <c r="B81" s="6" t="s">
        <v>216</v>
      </c>
      <c r="C81" s="7" t="s">
        <v>217</v>
      </c>
      <c r="D81" s="8" t="s">
        <v>213</v>
      </c>
      <c r="E81" s="9">
        <v>8</v>
      </c>
      <c r="F81" s="10">
        <f t="shared" si="6"/>
        <v>0.0003727518404622123</v>
      </c>
      <c r="G81" s="10">
        <f t="shared" si="7"/>
        <v>0.00010332046132585982</v>
      </c>
      <c r="H81" s="10">
        <f t="shared" si="8"/>
        <v>0.98383188891995343</v>
      </c>
    </row>
    <row r="82" ht="25" customHeight="1">
      <c r="A82" s="11">
        <v>78</v>
      </c>
      <c r="B82" s="12" t="s">
        <v>218</v>
      </c>
      <c r="C82" s="13" t="s">
        <v>219</v>
      </c>
      <c r="D82" s="14" t="s">
        <v>220</v>
      </c>
      <c r="E82" s="15">
        <v>8</v>
      </c>
      <c r="F82" s="16">
        <f t="shared" si="6"/>
        <v>0.0003727518404622123</v>
      </c>
      <c r="G82" s="16">
        <f t="shared" si="7"/>
        <v>0.00010332046132585982</v>
      </c>
      <c r="H82" s="16">
        <f t="shared" si="8"/>
        <v>0.98420464076041569</v>
      </c>
    </row>
    <row r="83" ht="25" customHeight="1">
      <c r="A83" s="5">
        <v>79</v>
      </c>
      <c r="B83" s="6" t="s">
        <v>221</v>
      </c>
      <c r="C83" s="7" t="s">
        <v>222</v>
      </c>
      <c r="D83" s="8" t="s">
        <v>223</v>
      </c>
      <c r="E83" s="9">
        <v>8</v>
      </c>
      <c r="F83" s="10">
        <f t="shared" si="6"/>
        <v>0.0003727518404622123</v>
      </c>
      <c r="G83" s="10">
        <f t="shared" si="7"/>
        <v>0.00010332046132585982</v>
      </c>
      <c r="H83" s="10">
        <f t="shared" si="8"/>
        <v>0.98457739260087795</v>
      </c>
    </row>
    <row r="84" ht="25" customHeight="1">
      <c r="A84" s="11">
        <v>80</v>
      </c>
      <c r="B84" s="12" t="s">
        <v>224</v>
      </c>
      <c r="C84" s="13" t="s">
        <v>225</v>
      </c>
      <c r="D84" s="14" t="s">
        <v>226</v>
      </c>
      <c r="E84" s="15">
        <v>8</v>
      </c>
      <c r="F84" s="16">
        <f t="shared" si="6"/>
        <v>0.0003727518404622123</v>
      </c>
      <c r="G84" s="16">
        <f t="shared" si="7"/>
        <v>0.00010332046132585982</v>
      </c>
      <c r="H84" s="16">
        <f t="shared" si="8"/>
        <v>0.98495014444134021</v>
      </c>
    </row>
    <row r="85" ht="25" customHeight="1">
      <c r="A85" s="5">
        <v>81</v>
      </c>
      <c r="B85" s="6" t="s">
        <v>227</v>
      </c>
      <c r="C85" s="7" t="s">
        <v>228</v>
      </c>
      <c r="D85" s="8" t="s">
        <v>226</v>
      </c>
      <c r="E85" s="9">
        <v>8</v>
      </c>
      <c r="F85" s="10">
        <f t="shared" si="6"/>
        <v>0.0003727518404622123</v>
      </c>
      <c r="G85" s="10">
        <f t="shared" si="7"/>
        <v>0.00010332046132585982</v>
      </c>
      <c r="H85" s="10">
        <f t="shared" si="8"/>
        <v>0.98532289628180247</v>
      </c>
    </row>
    <row r="86" ht="25" customHeight="1">
      <c r="A86" s="11">
        <v>82</v>
      </c>
      <c r="B86" s="12" t="s">
        <v>229</v>
      </c>
      <c r="C86" s="13" t="s">
        <v>230</v>
      </c>
      <c r="D86" s="14" t="s">
        <v>231</v>
      </c>
      <c r="E86" s="15">
        <v>8</v>
      </c>
      <c r="F86" s="16">
        <f t="shared" si="6"/>
        <v>0.0003727518404622123</v>
      </c>
      <c r="G86" s="16">
        <f t="shared" si="7"/>
        <v>0.00010332046132585982</v>
      </c>
      <c r="H86" s="16">
        <f t="shared" si="8"/>
        <v>0.98569564812226473</v>
      </c>
    </row>
    <row r="87" ht="25" customHeight="1">
      <c r="A87" s="5">
        <v>83</v>
      </c>
      <c r="B87" s="6" t="s">
        <v>232</v>
      </c>
      <c r="C87" s="7" t="s">
        <v>233</v>
      </c>
      <c r="D87" s="8" t="s">
        <v>234</v>
      </c>
      <c r="E87" s="9">
        <v>4</v>
      </c>
      <c r="F87" s="10">
        <f t="shared" si="6"/>
        <v>0.00018637592023110615</v>
      </c>
      <c r="G87" s="10">
        <f t="shared" si="7"/>
        <v>5.1660230662929908e-05</v>
      </c>
      <c r="H87" s="10">
        <f t="shared" si="8"/>
        <v>0.98588202404249581</v>
      </c>
    </row>
    <row r="88" ht="25" customHeight="1">
      <c r="A88" s="11">
        <v>84</v>
      </c>
      <c r="B88" s="12" t="s">
        <v>235</v>
      </c>
      <c r="C88" s="13" t="s">
        <v>236</v>
      </c>
      <c r="D88" s="14" t="s">
        <v>237</v>
      </c>
      <c r="E88" s="15">
        <v>4</v>
      </c>
      <c r="F88" s="16">
        <f t="shared" si="6"/>
        <v>0.00018637592023110615</v>
      </c>
      <c r="G88" s="16">
        <f t="shared" si="7"/>
        <v>5.1660230662929908e-05</v>
      </c>
      <c r="H88" s="16">
        <f t="shared" si="8"/>
        <v>0.98606839996272688</v>
      </c>
    </row>
    <row r="89" ht="25" customHeight="1">
      <c r="A89" s="5">
        <v>85</v>
      </c>
      <c r="B89" s="6" t="s">
        <v>238</v>
      </c>
      <c r="C89" s="7" t="s">
        <v>239</v>
      </c>
      <c r="D89" s="8" t="s">
        <v>240</v>
      </c>
      <c r="E89" s="9">
        <v>4</v>
      </c>
      <c r="F89" s="10">
        <f t="shared" si="6"/>
        <v>0.00018637592023110615</v>
      </c>
      <c r="G89" s="10">
        <f t="shared" si="7"/>
        <v>5.1660230662929908e-05</v>
      </c>
      <c r="H89" s="10">
        <f t="shared" si="8"/>
        <v>0.98625477588295796</v>
      </c>
    </row>
    <row r="90" ht="25" customHeight="1">
      <c r="A90" s="11">
        <v>86</v>
      </c>
      <c r="B90" s="12" t="s">
        <v>241</v>
      </c>
      <c r="C90" s="13" t="s">
        <v>242</v>
      </c>
      <c r="D90" s="14" t="s">
        <v>240</v>
      </c>
      <c r="E90" s="15">
        <v>4</v>
      </c>
      <c r="F90" s="16">
        <f t="shared" si="6"/>
        <v>0.00018637592023110615</v>
      </c>
      <c r="G90" s="16">
        <f t="shared" si="7"/>
        <v>5.1660230662929908e-05</v>
      </c>
      <c r="H90" s="16">
        <f t="shared" si="8"/>
        <v>0.98644115180318903</v>
      </c>
    </row>
    <row r="91" ht="25" customHeight="1">
      <c r="A91" s="5">
        <v>87</v>
      </c>
      <c r="B91" s="6" t="s">
        <v>243</v>
      </c>
      <c r="C91" s="7" t="s">
        <v>244</v>
      </c>
      <c r="D91" s="8" t="s">
        <v>240</v>
      </c>
      <c r="E91" s="9">
        <v>4</v>
      </c>
      <c r="F91" s="10">
        <f t="shared" si="6"/>
        <v>0.00018637592023110615</v>
      </c>
      <c r="G91" s="10">
        <f t="shared" si="7"/>
        <v>5.1660230662929908e-05</v>
      </c>
      <c r="H91" s="10">
        <f t="shared" si="8"/>
        <v>0.98662752772342011</v>
      </c>
    </row>
    <row r="92" ht="25" customHeight="1">
      <c r="A92" s="11">
        <v>88</v>
      </c>
      <c r="B92" s="12" t="s">
        <v>245</v>
      </c>
      <c r="C92" s="13" t="s">
        <v>246</v>
      </c>
      <c r="D92" s="14" t="s">
        <v>240</v>
      </c>
      <c r="E92" s="15">
        <v>4</v>
      </c>
      <c r="F92" s="16">
        <f t="shared" si="6"/>
        <v>0.00018637592023110615</v>
      </c>
      <c r="G92" s="16">
        <f t="shared" si="7"/>
        <v>5.1660230662929908e-05</v>
      </c>
      <c r="H92" s="16">
        <f t="shared" si="8"/>
        <v>0.98681390364365118</v>
      </c>
    </row>
    <row r="93" ht="25" customHeight="1">
      <c r="A93" s="5">
        <v>89</v>
      </c>
      <c r="B93" s="6" t="s">
        <v>247</v>
      </c>
      <c r="C93" s="7" t="s">
        <v>248</v>
      </c>
      <c r="D93" s="8" t="s">
        <v>240</v>
      </c>
      <c r="E93" s="9">
        <v>4</v>
      </c>
      <c r="F93" s="10">
        <f t="shared" si="6"/>
        <v>0.00018637592023110615</v>
      </c>
      <c r="G93" s="10">
        <f t="shared" si="7"/>
        <v>5.1660230662929908e-05</v>
      </c>
      <c r="H93" s="10">
        <f t="shared" si="8"/>
        <v>0.98700027956388225</v>
      </c>
    </row>
    <row r="94" ht="25" customHeight="1">
      <c r="A94" s="11">
        <v>90</v>
      </c>
      <c r="B94" s="12" t="s">
        <v>249</v>
      </c>
      <c r="C94" s="13" t="s">
        <v>250</v>
      </c>
      <c r="D94" s="14" t="s">
        <v>240</v>
      </c>
      <c r="E94" s="15">
        <v>4</v>
      </c>
      <c r="F94" s="16">
        <f t="shared" si="6"/>
        <v>0.00018637592023110615</v>
      </c>
      <c r="G94" s="16">
        <f t="shared" si="7"/>
        <v>5.1660230662929908e-05</v>
      </c>
      <c r="H94" s="16">
        <f t="shared" si="8"/>
        <v>0.98718665548411333</v>
      </c>
    </row>
    <row r="95" ht="25" customHeight="1">
      <c r="A95" s="5">
        <v>91</v>
      </c>
      <c r="B95" s="6" t="s">
        <v>251</v>
      </c>
      <c r="C95" s="7" t="s">
        <v>252</v>
      </c>
      <c r="D95" s="8" t="s">
        <v>240</v>
      </c>
      <c r="E95" s="9">
        <v>4</v>
      </c>
      <c r="F95" s="10">
        <f t="shared" si="6"/>
        <v>0.00018637592023110615</v>
      </c>
      <c r="G95" s="10">
        <f t="shared" si="7"/>
        <v>5.1660230662929908e-05</v>
      </c>
      <c r="H95" s="10">
        <f t="shared" si="8"/>
        <v>0.9873730314043444</v>
      </c>
    </row>
    <row r="96" ht="25" customHeight="1">
      <c r="A96" s="11">
        <v>92</v>
      </c>
      <c r="B96" s="12" t="s">
        <v>253</v>
      </c>
      <c r="C96" s="13" t="s">
        <v>254</v>
      </c>
      <c r="D96" s="14" t="s">
        <v>240</v>
      </c>
      <c r="E96" s="15">
        <v>4</v>
      </c>
      <c r="F96" s="16">
        <f t="shared" si="6"/>
        <v>0.00018637592023110615</v>
      </c>
      <c r="G96" s="16">
        <f t="shared" si="7"/>
        <v>5.1660230662929908e-05</v>
      </c>
      <c r="H96" s="16">
        <f t="shared" si="8"/>
        <v>0.98755940732457548</v>
      </c>
    </row>
    <row r="97" ht="25" customHeight="1">
      <c r="A97" s="5">
        <v>93</v>
      </c>
      <c r="B97" s="6" t="s">
        <v>255</v>
      </c>
      <c r="C97" s="7" t="s">
        <v>256</v>
      </c>
      <c r="D97" s="8" t="s">
        <v>240</v>
      </c>
      <c r="E97" s="9">
        <v>4</v>
      </c>
      <c r="F97" s="10">
        <f t="shared" si="6"/>
        <v>0.00018637592023110615</v>
      </c>
      <c r="G97" s="10">
        <f t="shared" si="7"/>
        <v>5.1660230662929908e-05</v>
      </c>
      <c r="H97" s="10">
        <f t="shared" si="8"/>
        <v>0.98774578324480655</v>
      </c>
    </row>
    <row r="98" ht="25" customHeight="1">
      <c r="A98" s="11">
        <v>94</v>
      </c>
      <c r="B98" s="12" t="s">
        <v>257</v>
      </c>
      <c r="C98" s="13" t="s">
        <v>258</v>
      </c>
      <c r="D98" s="14" t="s">
        <v>240</v>
      </c>
      <c r="E98" s="15">
        <v>4</v>
      </c>
      <c r="F98" s="16">
        <f t="shared" si="6"/>
        <v>0.00018637592023110615</v>
      </c>
      <c r="G98" s="16">
        <f t="shared" si="7"/>
        <v>5.1660230662929908e-05</v>
      </c>
      <c r="H98" s="16">
        <f t="shared" si="8"/>
        <v>0.98793215916503763</v>
      </c>
    </row>
    <row r="99" ht="25" customHeight="1">
      <c r="A99" s="5">
        <v>95</v>
      </c>
      <c r="B99" s="6" t="s">
        <v>259</v>
      </c>
      <c r="C99" s="7" t="s">
        <v>260</v>
      </c>
      <c r="D99" s="8" t="s">
        <v>240</v>
      </c>
      <c r="E99" s="9">
        <v>4</v>
      </c>
      <c r="F99" s="10">
        <f t="shared" si="6"/>
        <v>0.00018637592023110615</v>
      </c>
      <c r="G99" s="10">
        <f t="shared" si="7"/>
        <v>5.1660230662929908e-05</v>
      </c>
      <c r="H99" s="10">
        <f t="shared" si="8"/>
        <v>0.9881185350852687</v>
      </c>
    </row>
    <row r="100" ht="25" customHeight="1">
      <c r="A100" s="11">
        <v>96</v>
      </c>
      <c r="B100" s="12" t="s">
        <v>261</v>
      </c>
      <c r="C100" s="13" t="s">
        <v>262</v>
      </c>
      <c r="D100" s="14" t="s">
        <v>240</v>
      </c>
      <c r="E100" s="15">
        <v>4</v>
      </c>
      <c r="F100" s="16">
        <f t="shared" ref="F100:F163" si="9">E100/$E$178</f>
        <v>0.00018637592023110615</v>
      </c>
      <c r="G100" s="16">
        <f t="shared" ref="G100:G163" si="10">E100/77429</f>
        <v>5.1660230662929908e-05</v>
      </c>
      <c r="H100" s="16">
        <f>H99+F100</f>
        <v>0.98830491100549978</v>
      </c>
    </row>
    <row r="101" ht="25" customHeight="1">
      <c r="A101" s="5">
        <v>97</v>
      </c>
      <c r="B101" s="6" t="s">
        <v>263</v>
      </c>
      <c r="C101" s="7" t="s">
        <v>264</v>
      </c>
      <c r="D101" s="8" t="s">
        <v>240</v>
      </c>
      <c r="E101" s="9">
        <v>4</v>
      </c>
      <c r="F101" s="10">
        <f t="shared" si="9"/>
        <v>0.00018637592023110615</v>
      </c>
      <c r="G101" s="10">
        <f t="shared" si="10"/>
        <v>5.1660230662929908e-05</v>
      </c>
      <c r="H101" s="10">
        <f t="shared" ref="H101:H164" si="11">H100+F101</f>
        <v>0.98849128692573085</v>
      </c>
    </row>
    <row r="102" ht="25" customHeight="1">
      <c r="A102" s="11">
        <v>98</v>
      </c>
      <c r="B102" s="12" t="s">
        <v>265</v>
      </c>
      <c r="C102" s="13" t="s">
        <v>266</v>
      </c>
      <c r="D102" s="14" t="s">
        <v>240</v>
      </c>
      <c r="E102" s="15">
        <v>4</v>
      </c>
      <c r="F102" s="16">
        <f t="shared" si="9"/>
        <v>0.00018637592023110615</v>
      </c>
      <c r="G102" s="16">
        <f t="shared" si="10"/>
        <v>5.1660230662929908e-05</v>
      </c>
      <c r="H102" s="16">
        <f t="shared" si="11"/>
        <v>0.98867766284596192</v>
      </c>
    </row>
    <row r="103" ht="25" customHeight="1">
      <c r="A103" s="5">
        <v>99</v>
      </c>
      <c r="B103" s="6" t="s">
        <v>267</v>
      </c>
      <c r="C103" s="7" t="s">
        <v>268</v>
      </c>
      <c r="D103" s="8" t="s">
        <v>240</v>
      </c>
      <c r="E103" s="9">
        <v>4</v>
      </c>
      <c r="F103" s="10">
        <f t="shared" si="9"/>
        <v>0.00018637592023110615</v>
      </c>
      <c r="G103" s="10">
        <f t="shared" si="10"/>
        <v>5.1660230662929908e-05</v>
      </c>
      <c r="H103" s="10">
        <f t="shared" si="11"/>
        <v>0.988864038766193</v>
      </c>
    </row>
    <row r="104" ht="25" customHeight="1">
      <c r="A104" s="11">
        <v>100</v>
      </c>
      <c r="B104" s="12" t="s">
        <v>269</v>
      </c>
      <c r="C104" s="13" t="s">
        <v>270</v>
      </c>
      <c r="D104" s="14" t="s">
        <v>240</v>
      </c>
      <c r="E104" s="15">
        <v>4</v>
      </c>
      <c r="F104" s="16">
        <f t="shared" si="9"/>
        <v>0.00018637592023110615</v>
      </c>
      <c r="G104" s="16">
        <f t="shared" si="10"/>
        <v>5.1660230662929908e-05</v>
      </c>
      <c r="H104" s="16">
        <f t="shared" si="11"/>
        <v>0.98905041468642407</v>
      </c>
    </row>
    <row r="105" ht="25" customHeight="1">
      <c r="A105" s="5">
        <v>101</v>
      </c>
      <c r="B105" s="6" t="s">
        <v>271</v>
      </c>
      <c r="C105" s="7" t="s">
        <v>272</v>
      </c>
      <c r="D105" s="8" t="s">
        <v>240</v>
      </c>
      <c r="E105" s="9">
        <v>4</v>
      </c>
      <c r="F105" s="10">
        <f t="shared" si="9"/>
        <v>0.00018637592023110615</v>
      </c>
      <c r="G105" s="10">
        <f t="shared" si="10"/>
        <v>5.1660230662929908e-05</v>
      </c>
      <c r="H105" s="10">
        <f t="shared" si="11"/>
        <v>0.98923679060665515</v>
      </c>
    </row>
    <row r="106" ht="25" customHeight="1">
      <c r="A106" s="11">
        <v>102</v>
      </c>
      <c r="B106" s="12" t="s">
        <v>273</v>
      </c>
      <c r="C106" s="13" t="s">
        <v>274</v>
      </c>
      <c r="D106" s="14" t="s">
        <v>240</v>
      </c>
      <c r="E106" s="15">
        <v>4</v>
      </c>
      <c r="F106" s="16">
        <f t="shared" si="9"/>
        <v>0.00018637592023110615</v>
      </c>
      <c r="G106" s="16">
        <f t="shared" si="10"/>
        <v>5.1660230662929908e-05</v>
      </c>
      <c r="H106" s="16">
        <f t="shared" si="11"/>
        <v>0.98942316652688622</v>
      </c>
    </row>
    <row r="107" ht="25" customHeight="1">
      <c r="A107" s="5">
        <v>103</v>
      </c>
      <c r="B107" s="6" t="s">
        <v>275</v>
      </c>
      <c r="C107" s="7" t="s">
        <v>276</v>
      </c>
      <c r="D107" s="8" t="s">
        <v>240</v>
      </c>
      <c r="E107" s="9">
        <v>4</v>
      </c>
      <c r="F107" s="10">
        <f t="shared" si="9"/>
        <v>0.00018637592023110615</v>
      </c>
      <c r="G107" s="10">
        <f t="shared" si="10"/>
        <v>5.1660230662929908e-05</v>
      </c>
      <c r="H107" s="10">
        <f t="shared" si="11"/>
        <v>0.9896095424471173</v>
      </c>
    </row>
    <row r="108" ht="25" customHeight="1">
      <c r="A108" s="11">
        <v>104</v>
      </c>
      <c r="B108" s="12" t="s">
        <v>277</v>
      </c>
      <c r="C108" s="13" t="s">
        <v>278</v>
      </c>
      <c r="D108" s="14" t="s">
        <v>240</v>
      </c>
      <c r="E108" s="15">
        <v>4</v>
      </c>
      <c r="F108" s="16">
        <f t="shared" si="9"/>
        <v>0.00018637592023110615</v>
      </c>
      <c r="G108" s="16">
        <f t="shared" si="10"/>
        <v>5.1660230662929908e-05</v>
      </c>
      <c r="H108" s="16">
        <f t="shared" si="11"/>
        <v>0.98979591836734837</v>
      </c>
    </row>
    <row r="109" ht="25" customHeight="1">
      <c r="A109" s="5">
        <v>105</v>
      </c>
      <c r="B109" s="6" t="s">
        <v>279</v>
      </c>
      <c r="C109" s="7" t="s">
        <v>280</v>
      </c>
      <c r="D109" s="8" t="s">
        <v>240</v>
      </c>
      <c r="E109" s="9">
        <v>4</v>
      </c>
      <c r="F109" s="10">
        <f t="shared" si="9"/>
        <v>0.00018637592023110615</v>
      </c>
      <c r="G109" s="10">
        <f t="shared" si="10"/>
        <v>5.1660230662929908e-05</v>
      </c>
      <c r="H109" s="10">
        <f t="shared" si="11"/>
        <v>0.98998229428757945</v>
      </c>
    </row>
    <row r="110" ht="25" customHeight="1">
      <c r="A110" s="11">
        <v>106</v>
      </c>
      <c r="B110" s="12" t="s">
        <v>281</v>
      </c>
      <c r="C110" s="13" t="s">
        <v>282</v>
      </c>
      <c r="D110" s="14" t="s">
        <v>240</v>
      </c>
      <c r="E110" s="15">
        <v>4</v>
      </c>
      <c r="F110" s="16">
        <f t="shared" si="9"/>
        <v>0.00018637592023110615</v>
      </c>
      <c r="G110" s="16">
        <f t="shared" si="10"/>
        <v>5.1660230662929908e-05</v>
      </c>
      <c r="H110" s="16">
        <f t="shared" si="11"/>
        <v>0.99016867020781052</v>
      </c>
    </row>
    <row r="111" ht="25" customHeight="1">
      <c r="A111" s="5">
        <v>107</v>
      </c>
      <c r="B111" s="6" t="s">
        <v>283</v>
      </c>
      <c r="C111" s="7" t="s">
        <v>284</v>
      </c>
      <c r="D111" s="8" t="s">
        <v>240</v>
      </c>
      <c r="E111" s="9">
        <v>4</v>
      </c>
      <c r="F111" s="10">
        <f t="shared" si="9"/>
        <v>0.00018637592023110615</v>
      </c>
      <c r="G111" s="10">
        <f t="shared" si="10"/>
        <v>5.1660230662929908e-05</v>
      </c>
      <c r="H111" s="10">
        <f t="shared" si="11"/>
        <v>0.99035504612804159</v>
      </c>
    </row>
    <row r="112" ht="25" customHeight="1">
      <c r="A112" s="11">
        <v>108</v>
      </c>
      <c r="B112" s="12" t="s">
        <v>285</v>
      </c>
      <c r="C112" s="13" t="s">
        <v>286</v>
      </c>
      <c r="D112" s="14" t="s">
        <v>240</v>
      </c>
      <c r="E112" s="15">
        <v>4</v>
      </c>
      <c r="F112" s="16">
        <f t="shared" si="9"/>
        <v>0.00018637592023110615</v>
      </c>
      <c r="G112" s="16">
        <f t="shared" si="10"/>
        <v>5.1660230662929908e-05</v>
      </c>
      <c r="H112" s="16">
        <f t="shared" si="11"/>
        <v>0.99054142204827267</v>
      </c>
    </row>
    <row r="113" ht="25" customHeight="1">
      <c r="A113" s="5">
        <v>109</v>
      </c>
      <c r="B113" s="6" t="s">
        <v>287</v>
      </c>
      <c r="C113" s="7" t="s">
        <v>288</v>
      </c>
      <c r="D113" s="8" t="s">
        <v>240</v>
      </c>
      <c r="E113" s="9">
        <v>4</v>
      </c>
      <c r="F113" s="10">
        <f t="shared" si="9"/>
        <v>0.00018637592023110615</v>
      </c>
      <c r="G113" s="10">
        <f t="shared" si="10"/>
        <v>5.1660230662929908e-05</v>
      </c>
      <c r="H113" s="10">
        <f t="shared" si="11"/>
        <v>0.99072779796850374</v>
      </c>
    </row>
    <row r="114" ht="25" customHeight="1">
      <c r="A114" s="11">
        <v>110</v>
      </c>
      <c r="B114" s="12" t="s">
        <v>289</v>
      </c>
      <c r="C114" s="13" t="s">
        <v>290</v>
      </c>
      <c r="D114" s="14" t="s">
        <v>240</v>
      </c>
      <c r="E114" s="15">
        <v>4</v>
      </c>
      <c r="F114" s="16">
        <f t="shared" si="9"/>
        <v>0.00018637592023110615</v>
      </c>
      <c r="G114" s="16">
        <f t="shared" si="10"/>
        <v>5.1660230662929908e-05</v>
      </c>
      <c r="H114" s="16">
        <f t="shared" si="11"/>
        <v>0.99091417388873482</v>
      </c>
    </row>
    <row r="115" ht="25" customHeight="1">
      <c r="A115" s="5">
        <v>111</v>
      </c>
      <c r="B115" s="6" t="s">
        <v>291</v>
      </c>
      <c r="C115" s="7" t="s">
        <v>292</v>
      </c>
      <c r="D115" s="8" t="s">
        <v>240</v>
      </c>
      <c r="E115" s="9">
        <v>4</v>
      </c>
      <c r="F115" s="10">
        <f t="shared" si="9"/>
        <v>0.00018637592023110615</v>
      </c>
      <c r="G115" s="10">
        <f t="shared" si="10"/>
        <v>5.1660230662929908e-05</v>
      </c>
      <c r="H115" s="10">
        <f t="shared" si="11"/>
        <v>0.99110054980896589</v>
      </c>
    </row>
    <row r="116" ht="25" customHeight="1">
      <c r="A116" s="11">
        <v>112</v>
      </c>
      <c r="B116" s="12" t="s">
        <v>293</v>
      </c>
      <c r="C116" s="13" t="s">
        <v>294</v>
      </c>
      <c r="D116" s="14" t="s">
        <v>240</v>
      </c>
      <c r="E116" s="15">
        <v>4</v>
      </c>
      <c r="F116" s="16">
        <f t="shared" si="9"/>
        <v>0.00018637592023110615</v>
      </c>
      <c r="G116" s="16">
        <f t="shared" si="10"/>
        <v>5.1660230662929908e-05</v>
      </c>
      <c r="H116" s="16">
        <f t="shared" si="11"/>
        <v>0.99128692572919697</v>
      </c>
    </row>
    <row r="117" ht="25" customHeight="1">
      <c r="A117" s="5">
        <v>113</v>
      </c>
      <c r="B117" s="6" t="s">
        <v>295</v>
      </c>
      <c r="C117" s="7" t="s">
        <v>296</v>
      </c>
      <c r="D117" s="8" t="s">
        <v>240</v>
      </c>
      <c r="E117" s="9">
        <v>2</v>
      </c>
      <c r="F117" s="10">
        <f t="shared" si="9"/>
        <v>9.3187960115553075e-05</v>
      </c>
      <c r="G117" s="10">
        <f t="shared" si="10"/>
        <v>2.5830115331464954e-05</v>
      </c>
      <c r="H117" s="10">
        <f t="shared" si="11"/>
        <v>0.99138011368931256</v>
      </c>
    </row>
    <row r="118" ht="25" customHeight="1">
      <c r="A118" s="11">
        <v>114</v>
      </c>
      <c r="B118" s="12" t="s">
        <v>297</v>
      </c>
      <c r="C118" s="13" t="s">
        <v>298</v>
      </c>
      <c r="D118" s="14" t="s">
        <v>240</v>
      </c>
      <c r="E118" s="15">
        <v>2</v>
      </c>
      <c r="F118" s="16">
        <f t="shared" si="9"/>
        <v>9.3187960115553075e-05</v>
      </c>
      <c r="G118" s="16">
        <f t="shared" si="10"/>
        <v>2.5830115331464954e-05</v>
      </c>
      <c r="H118" s="16">
        <f t="shared" si="11"/>
        <v>0.99147330164942815</v>
      </c>
    </row>
    <row r="119" ht="25" customHeight="1">
      <c r="A119" s="5">
        <v>115</v>
      </c>
      <c r="B119" s="6" t="s">
        <v>299</v>
      </c>
      <c r="C119" s="7" t="s">
        <v>300</v>
      </c>
      <c r="D119" s="8" t="s">
        <v>240</v>
      </c>
      <c r="E119" s="9">
        <v>2</v>
      </c>
      <c r="F119" s="10">
        <f t="shared" si="9"/>
        <v>9.3187960115553075e-05</v>
      </c>
      <c r="G119" s="10">
        <f t="shared" si="10"/>
        <v>2.5830115331464954e-05</v>
      </c>
      <c r="H119" s="10">
        <f t="shared" si="11"/>
        <v>0.99156648960954374</v>
      </c>
    </row>
    <row r="120" ht="25" customHeight="1">
      <c r="A120" s="11">
        <v>116</v>
      </c>
      <c r="B120" s="12" t="s">
        <v>301</v>
      </c>
      <c r="C120" s="13" t="s">
        <v>302</v>
      </c>
      <c r="D120" s="14" t="s">
        <v>240</v>
      </c>
      <c r="E120" s="15">
        <v>2</v>
      </c>
      <c r="F120" s="16">
        <f t="shared" si="9"/>
        <v>9.3187960115553075e-05</v>
      </c>
      <c r="G120" s="16">
        <f t="shared" si="10"/>
        <v>2.5830115331464954e-05</v>
      </c>
      <c r="H120" s="16">
        <f t="shared" si="11"/>
        <v>0.99165967756965934</v>
      </c>
    </row>
    <row r="121" ht="25" customHeight="1">
      <c r="A121" s="5">
        <v>117</v>
      </c>
      <c r="B121" s="6" t="s">
        <v>303</v>
      </c>
      <c r="C121" s="7" t="s">
        <v>304</v>
      </c>
      <c r="D121" s="8" t="s">
        <v>240</v>
      </c>
      <c r="E121" s="9">
        <v>2</v>
      </c>
      <c r="F121" s="10">
        <f t="shared" si="9"/>
        <v>9.3187960115553075e-05</v>
      </c>
      <c r="G121" s="10">
        <f t="shared" si="10"/>
        <v>2.5830115331464954e-05</v>
      </c>
      <c r="H121" s="10">
        <f t="shared" si="11"/>
        <v>0.99175286552977493</v>
      </c>
    </row>
    <row r="122" ht="25" customHeight="1">
      <c r="A122" s="11">
        <v>118</v>
      </c>
      <c r="B122" s="12" t="s">
        <v>305</v>
      </c>
      <c r="C122" s="13" t="s">
        <v>306</v>
      </c>
      <c r="D122" s="14" t="s">
        <v>240</v>
      </c>
      <c r="E122" s="15">
        <v>2</v>
      </c>
      <c r="F122" s="16">
        <f t="shared" si="9"/>
        <v>9.3187960115553075e-05</v>
      </c>
      <c r="G122" s="16">
        <f t="shared" si="10"/>
        <v>2.5830115331464954e-05</v>
      </c>
      <c r="H122" s="16">
        <f t="shared" si="11"/>
        <v>0.99184605348989052</v>
      </c>
    </row>
    <row r="123" ht="25" customHeight="1">
      <c r="A123" s="5">
        <v>119</v>
      </c>
      <c r="B123" s="6" t="s">
        <v>307</v>
      </c>
      <c r="C123" s="7" t="s">
        <v>308</v>
      </c>
      <c r="D123" s="8" t="s">
        <v>240</v>
      </c>
      <c r="E123" s="9">
        <v>2</v>
      </c>
      <c r="F123" s="10">
        <f t="shared" si="9"/>
        <v>9.3187960115553075e-05</v>
      </c>
      <c r="G123" s="10">
        <f t="shared" si="10"/>
        <v>2.5830115331464954e-05</v>
      </c>
      <c r="H123" s="10">
        <f t="shared" si="11"/>
        <v>0.99193924145000612</v>
      </c>
    </row>
    <row r="124" ht="25" customHeight="1">
      <c r="A124" s="11">
        <v>120</v>
      </c>
      <c r="B124" s="12" t="s">
        <v>309</v>
      </c>
      <c r="C124" s="13" t="s">
        <v>310</v>
      </c>
      <c r="D124" s="14" t="s">
        <v>240</v>
      </c>
      <c r="E124" s="15">
        <v>2</v>
      </c>
      <c r="F124" s="16">
        <f t="shared" si="9"/>
        <v>9.3187960115553075e-05</v>
      </c>
      <c r="G124" s="16">
        <f t="shared" si="10"/>
        <v>2.5830115331464954e-05</v>
      </c>
      <c r="H124" s="16">
        <f t="shared" si="11"/>
        <v>0.99203242941012171</v>
      </c>
    </row>
    <row r="125" ht="25" customHeight="1">
      <c r="A125" s="5">
        <v>121</v>
      </c>
      <c r="B125" s="6" t="s">
        <v>311</v>
      </c>
      <c r="C125" s="7" t="s">
        <v>312</v>
      </c>
      <c r="D125" s="8" t="s">
        <v>240</v>
      </c>
      <c r="E125" s="9">
        <v>2</v>
      </c>
      <c r="F125" s="10">
        <f t="shared" si="9"/>
        <v>9.3187960115553075e-05</v>
      </c>
      <c r="G125" s="10">
        <f t="shared" si="10"/>
        <v>2.5830115331464954e-05</v>
      </c>
      <c r="H125" s="10">
        <f t="shared" si="11"/>
        <v>0.9921256173702373</v>
      </c>
    </row>
    <row r="126" ht="25" customHeight="1">
      <c r="A126" s="11">
        <v>122</v>
      </c>
      <c r="B126" s="12" t="s">
        <v>313</v>
      </c>
      <c r="C126" s="13" t="s">
        <v>314</v>
      </c>
      <c r="D126" s="14" t="s">
        <v>240</v>
      </c>
      <c r="E126" s="15">
        <v>2</v>
      </c>
      <c r="F126" s="16">
        <f t="shared" si="9"/>
        <v>9.3187960115553075e-05</v>
      </c>
      <c r="G126" s="16">
        <f t="shared" si="10"/>
        <v>2.5830115331464954e-05</v>
      </c>
      <c r="H126" s="16">
        <f t="shared" si="11"/>
        <v>0.99221880533035289</v>
      </c>
    </row>
    <row r="127" ht="25" customHeight="1">
      <c r="A127" s="5">
        <v>123</v>
      </c>
      <c r="B127" s="6" t="s">
        <v>315</v>
      </c>
      <c r="C127" s="7" t="s">
        <v>316</v>
      </c>
      <c r="D127" s="8" t="s">
        <v>240</v>
      </c>
      <c r="E127" s="9">
        <v>2</v>
      </c>
      <c r="F127" s="10">
        <f t="shared" si="9"/>
        <v>9.3187960115553075e-05</v>
      </c>
      <c r="G127" s="10">
        <f t="shared" si="10"/>
        <v>2.5830115331464954e-05</v>
      </c>
      <c r="H127" s="10">
        <f t="shared" si="11"/>
        <v>0.99231199329046849</v>
      </c>
    </row>
    <row r="128" ht="25" customHeight="1">
      <c r="A128" s="11">
        <v>124</v>
      </c>
      <c r="B128" s="12" t="s">
        <v>317</v>
      </c>
      <c r="C128" s="13" t="s">
        <v>318</v>
      </c>
      <c r="D128" s="14" t="s">
        <v>240</v>
      </c>
      <c r="E128" s="15">
        <v>2</v>
      </c>
      <c r="F128" s="16">
        <f t="shared" si="9"/>
        <v>9.3187960115553075e-05</v>
      </c>
      <c r="G128" s="16">
        <f t="shared" si="10"/>
        <v>2.5830115331464954e-05</v>
      </c>
      <c r="H128" s="16">
        <f t="shared" si="11"/>
        <v>0.99240518125058408</v>
      </c>
    </row>
    <row r="129" ht="25" customHeight="1">
      <c r="A129" s="5">
        <v>125</v>
      </c>
      <c r="B129" s="6" t="s">
        <v>319</v>
      </c>
      <c r="C129" s="7" t="s">
        <v>320</v>
      </c>
      <c r="D129" s="8" t="s">
        <v>240</v>
      </c>
      <c r="E129" s="9">
        <v>2</v>
      </c>
      <c r="F129" s="10">
        <f t="shared" si="9"/>
        <v>9.3187960115553075e-05</v>
      </c>
      <c r="G129" s="10">
        <f t="shared" si="10"/>
        <v>2.5830115331464954e-05</v>
      </c>
      <c r="H129" s="10">
        <f t="shared" si="11"/>
        <v>0.99249836921069967</v>
      </c>
    </row>
    <row r="130" ht="25" customHeight="1">
      <c r="A130" s="11">
        <v>126</v>
      </c>
      <c r="B130" s="12" t="s">
        <v>321</v>
      </c>
      <c r="C130" s="13" t="s">
        <v>322</v>
      </c>
      <c r="D130" s="14" t="s">
        <v>240</v>
      </c>
      <c r="E130" s="15">
        <v>2</v>
      </c>
      <c r="F130" s="16">
        <f t="shared" si="9"/>
        <v>9.3187960115553075e-05</v>
      </c>
      <c r="G130" s="16">
        <f t="shared" si="10"/>
        <v>2.5830115331464954e-05</v>
      </c>
      <c r="H130" s="16">
        <f t="shared" si="11"/>
        <v>0.99259155717081526</v>
      </c>
    </row>
    <row r="131" ht="25" customHeight="1">
      <c r="A131" s="5">
        <v>127</v>
      </c>
      <c r="B131" s="6" t="s">
        <v>323</v>
      </c>
      <c r="C131" s="7" t="s">
        <v>324</v>
      </c>
      <c r="D131" s="8" t="s">
        <v>240</v>
      </c>
      <c r="E131" s="9">
        <v>2</v>
      </c>
      <c r="F131" s="10">
        <f t="shared" si="9"/>
        <v>9.3187960115553075e-05</v>
      </c>
      <c r="G131" s="10">
        <f t="shared" si="10"/>
        <v>2.5830115331464954e-05</v>
      </c>
      <c r="H131" s="10">
        <f t="shared" si="11"/>
        <v>0.99268474513093086</v>
      </c>
    </row>
    <row r="132" ht="25" customHeight="1">
      <c r="A132" s="11">
        <v>128</v>
      </c>
      <c r="B132" s="12" t="s">
        <v>325</v>
      </c>
      <c r="C132" s="13" t="s">
        <v>326</v>
      </c>
      <c r="D132" s="14" t="s">
        <v>240</v>
      </c>
      <c r="E132" s="15">
        <v>2</v>
      </c>
      <c r="F132" s="16">
        <f t="shared" si="9"/>
        <v>9.3187960115553075e-05</v>
      </c>
      <c r="G132" s="16">
        <f t="shared" si="10"/>
        <v>2.5830115331464954e-05</v>
      </c>
      <c r="H132" s="16">
        <f t="shared" si="11"/>
        <v>0.99277793309104645</v>
      </c>
    </row>
    <row r="133" ht="25" customHeight="1">
      <c r="A133" s="5">
        <v>129</v>
      </c>
      <c r="B133" s="6" t="s">
        <v>327</v>
      </c>
      <c r="C133" s="7" t="s">
        <v>328</v>
      </c>
      <c r="D133" s="8" t="s">
        <v>240</v>
      </c>
      <c r="E133" s="9">
        <v>2</v>
      </c>
      <c r="F133" s="10">
        <f t="shared" si="9"/>
        <v>9.3187960115553075e-05</v>
      </c>
      <c r="G133" s="10">
        <f t="shared" si="10"/>
        <v>2.5830115331464954e-05</v>
      </c>
      <c r="H133" s="10">
        <f t="shared" si="11"/>
        <v>0.99287112105116204</v>
      </c>
    </row>
    <row r="134" ht="25" customHeight="1">
      <c r="A134" s="11">
        <v>130</v>
      </c>
      <c r="B134" s="12" t="s">
        <v>329</v>
      </c>
      <c r="C134" s="13" t="s">
        <v>330</v>
      </c>
      <c r="D134" s="14" t="s">
        <v>240</v>
      </c>
      <c r="E134" s="15">
        <v>2</v>
      </c>
      <c r="F134" s="16">
        <f t="shared" si="9"/>
        <v>9.3187960115553075e-05</v>
      </c>
      <c r="G134" s="16">
        <f t="shared" si="10"/>
        <v>2.5830115331464954e-05</v>
      </c>
      <c r="H134" s="16">
        <f t="shared" si="11"/>
        <v>0.99296430901127763</v>
      </c>
    </row>
    <row r="135" ht="25" customHeight="1">
      <c r="A135" s="5">
        <v>131</v>
      </c>
      <c r="B135" s="6" t="s">
        <v>331</v>
      </c>
      <c r="C135" s="7" t="s">
        <v>332</v>
      </c>
      <c r="D135" s="8" t="s">
        <v>240</v>
      </c>
      <c r="E135" s="9">
        <v>2</v>
      </c>
      <c r="F135" s="10">
        <f t="shared" si="9"/>
        <v>9.3187960115553075e-05</v>
      </c>
      <c r="G135" s="10">
        <f t="shared" si="10"/>
        <v>2.5830115331464954e-05</v>
      </c>
      <c r="H135" s="10">
        <f t="shared" si="11"/>
        <v>0.99305749697139323</v>
      </c>
    </row>
    <row r="136" ht="25" customHeight="1">
      <c r="A136" s="11">
        <v>132</v>
      </c>
      <c r="B136" s="12" t="s">
        <v>333</v>
      </c>
      <c r="C136" s="13" t="s">
        <v>334</v>
      </c>
      <c r="D136" s="14" t="s">
        <v>240</v>
      </c>
      <c r="E136" s="15">
        <v>2</v>
      </c>
      <c r="F136" s="16">
        <f t="shared" si="9"/>
        <v>9.3187960115553075e-05</v>
      </c>
      <c r="G136" s="16">
        <f t="shared" si="10"/>
        <v>2.5830115331464954e-05</v>
      </c>
      <c r="H136" s="16">
        <f t="shared" si="11"/>
        <v>0.99315068493150882</v>
      </c>
    </row>
    <row r="137" ht="25" customHeight="1">
      <c r="A137" s="5">
        <v>133</v>
      </c>
      <c r="B137" s="6" t="s">
        <v>335</v>
      </c>
      <c r="C137" s="7" t="s">
        <v>336</v>
      </c>
      <c r="D137" s="8" t="s">
        <v>240</v>
      </c>
      <c r="E137" s="9">
        <v>1</v>
      </c>
      <c r="F137" s="10">
        <f t="shared" si="9"/>
        <v>4.6593980057776538e-05</v>
      </c>
      <c r="G137" s="10">
        <f t="shared" si="10"/>
        <v>1.2915057665732477e-05</v>
      </c>
      <c r="H137" s="10">
        <f t="shared" si="11"/>
        <v>0.99319727891156662</v>
      </c>
    </row>
    <row r="138" ht="25" customHeight="1">
      <c r="A138" s="11">
        <v>134</v>
      </c>
      <c r="B138" s="12" t="s">
        <v>337</v>
      </c>
      <c r="C138" s="13" t="s">
        <v>338</v>
      </c>
      <c r="D138" s="14" t="s">
        <v>240</v>
      </c>
      <c r="E138" s="15">
        <v>1</v>
      </c>
      <c r="F138" s="16">
        <f t="shared" si="9"/>
        <v>4.6593980057776538e-05</v>
      </c>
      <c r="G138" s="16">
        <f t="shared" si="10"/>
        <v>1.2915057665732477e-05</v>
      </c>
      <c r="H138" s="16">
        <f t="shared" si="11"/>
        <v>0.99324387289162441</v>
      </c>
    </row>
    <row r="139" ht="25" customHeight="1">
      <c r="A139" s="5">
        <v>135</v>
      </c>
      <c r="B139" s="6" t="s">
        <v>339</v>
      </c>
      <c r="C139" s="7" t="s">
        <v>340</v>
      </c>
      <c r="D139" s="8" t="s">
        <v>240</v>
      </c>
      <c r="E139" s="9">
        <v>1</v>
      </c>
      <c r="F139" s="10">
        <f t="shared" si="9"/>
        <v>4.6593980057776538e-05</v>
      </c>
      <c r="G139" s="10">
        <f t="shared" si="10"/>
        <v>1.2915057665732477e-05</v>
      </c>
      <c r="H139" s="10">
        <f t="shared" si="11"/>
        <v>0.99329046687168221</v>
      </c>
    </row>
    <row r="140" ht="25" customHeight="1">
      <c r="A140" s="11">
        <v>136</v>
      </c>
      <c r="B140" s="12" t="s">
        <v>341</v>
      </c>
      <c r="C140" s="13" t="s">
        <v>342</v>
      </c>
      <c r="D140" s="14" t="s">
        <v>240</v>
      </c>
      <c r="E140" s="15">
        <v>1</v>
      </c>
      <c r="F140" s="16">
        <f t="shared" si="9"/>
        <v>4.6593980057776538e-05</v>
      </c>
      <c r="G140" s="16">
        <f t="shared" si="10"/>
        <v>1.2915057665732477e-05</v>
      </c>
      <c r="H140" s="16">
        <f t="shared" si="11"/>
        <v>0.99333706085174001</v>
      </c>
    </row>
    <row r="141" ht="25" customHeight="1">
      <c r="A141" s="5">
        <v>137</v>
      </c>
      <c r="B141" s="6" t="s">
        <v>343</v>
      </c>
      <c r="C141" s="7" t="s">
        <v>344</v>
      </c>
      <c r="D141" s="8" t="s">
        <v>240</v>
      </c>
      <c r="E141" s="9">
        <v>1</v>
      </c>
      <c r="F141" s="10">
        <f t="shared" si="9"/>
        <v>4.6593980057776538e-05</v>
      </c>
      <c r="G141" s="10">
        <f t="shared" si="10"/>
        <v>1.2915057665732477e-05</v>
      </c>
      <c r="H141" s="10">
        <f t="shared" si="11"/>
        <v>0.9933836548317978</v>
      </c>
    </row>
    <row r="142" ht="25" customHeight="1">
      <c r="A142" s="11">
        <v>138</v>
      </c>
      <c r="B142" s="12" t="s">
        <v>345</v>
      </c>
      <c r="C142" s="13" t="s">
        <v>346</v>
      </c>
      <c r="D142" s="14" t="s">
        <v>240</v>
      </c>
      <c r="E142" s="15">
        <v>1</v>
      </c>
      <c r="F142" s="16">
        <f t="shared" si="9"/>
        <v>4.6593980057776538e-05</v>
      </c>
      <c r="G142" s="16">
        <f t="shared" si="10"/>
        <v>1.2915057665732477e-05</v>
      </c>
      <c r="H142" s="16">
        <f t="shared" si="11"/>
        <v>0.9934302488118556</v>
      </c>
    </row>
    <row r="143" ht="25" customHeight="1">
      <c r="A143" s="5">
        <v>139</v>
      </c>
      <c r="B143" s="6" t="s">
        <v>347</v>
      </c>
      <c r="C143" s="7" t="s">
        <v>348</v>
      </c>
      <c r="D143" s="8" t="s">
        <v>240</v>
      </c>
      <c r="E143" s="9">
        <v>1</v>
      </c>
      <c r="F143" s="10">
        <f t="shared" si="9"/>
        <v>4.6593980057776538e-05</v>
      </c>
      <c r="G143" s="10">
        <f t="shared" si="10"/>
        <v>1.2915057665732477e-05</v>
      </c>
      <c r="H143" s="10">
        <f t="shared" si="11"/>
        <v>0.99347684279191339</v>
      </c>
    </row>
    <row r="144" ht="25" customHeight="1">
      <c r="A144" s="11">
        <v>140</v>
      </c>
      <c r="B144" s="12" t="s">
        <v>349</v>
      </c>
      <c r="C144" s="13" t="s">
        <v>350</v>
      </c>
      <c r="D144" s="14" t="s">
        <v>240</v>
      </c>
      <c r="E144" s="15">
        <v>1</v>
      </c>
      <c r="F144" s="16">
        <f t="shared" si="9"/>
        <v>4.6593980057776538e-05</v>
      </c>
      <c r="G144" s="16">
        <f t="shared" si="10"/>
        <v>1.2915057665732477e-05</v>
      </c>
      <c r="H144" s="16">
        <f t="shared" si="11"/>
        <v>0.99352343677197119</v>
      </c>
    </row>
    <row r="145" ht="25" customHeight="1">
      <c r="A145" s="5">
        <v>141</v>
      </c>
      <c r="B145" s="6" t="s">
        <v>351</v>
      </c>
      <c r="C145" s="7" t="s">
        <v>352</v>
      </c>
      <c r="D145" s="8" t="s">
        <v>240</v>
      </c>
      <c r="E145" s="9">
        <v>1</v>
      </c>
      <c r="F145" s="10">
        <f t="shared" si="9"/>
        <v>4.6593980057776538e-05</v>
      </c>
      <c r="G145" s="10">
        <f t="shared" si="10"/>
        <v>1.2915057665732477e-05</v>
      </c>
      <c r="H145" s="10">
        <f t="shared" si="11"/>
        <v>0.99357003075202899</v>
      </c>
    </row>
    <row r="146" ht="25" customHeight="1">
      <c r="A146" s="11">
        <v>142</v>
      </c>
      <c r="B146" s="12" t="s">
        <v>353</v>
      </c>
      <c r="C146" s="13" t="s">
        <v>354</v>
      </c>
      <c r="D146" s="14" t="s">
        <v>240</v>
      </c>
      <c r="E146" s="15">
        <v>1</v>
      </c>
      <c r="F146" s="16">
        <f t="shared" si="9"/>
        <v>4.6593980057776538e-05</v>
      </c>
      <c r="G146" s="16">
        <f t="shared" si="10"/>
        <v>1.2915057665732477e-05</v>
      </c>
      <c r="H146" s="16">
        <f t="shared" si="11"/>
        <v>0.99361662473208678</v>
      </c>
    </row>
    <row r="147" ht="25" customHeight="1">
      <c r="A147" s="5">
        <v>143</v>
      </c>
      <c r="B147" s="6" t="s">
        <v>355</v>
      </c>
      <c r="C147" s="7" t="s">
        <v>356</v>
      </c>
      <c r="D147" s="8" t="s">
        <v>240</v>
      </c>
      <c r="E147" s="9">
        <v>1</v>
      </c>
      <c r="F147" s="10">
        <f t="shared" si="9"/>
        <v>4.6593980057776538e-05</v>
      </c>
      <c r="G147" s="10">
        <f t="shared" si="10"/>
        <v>1.2915057665732477e-05</v>
      </c>
      <c r="H147" s="10">
        <f t="shared" si="11"/>
        <v>0.99366321871214458</v>
      </c>
    </row>
    <row r="148" ht="25" customHeight="1">
      <c r="A148" s="11">
        <v>144</v>
      </c>
      <c r="B148" s="12" t="s">
        <v>357</v>
      </c>
      <c r="C148" s="13" t="s">
        <v>358</v>
      </c>
      <c r="D148" s="14" t="s">
        <v>240</v>
      </c>
      <c r="E148" s="15">
        <v>1</v>
      </c>
      <c r="F148" s="16">
        <f t="shared" si="9"/>
        <v>4.6593980057776538e-05</v>
      </c>
      <c r="G148" s="16">
        <f t="shared" si="10"/>
        <v>1.2915057665732477e-05</v>
      </c>
      <c r="H148" s="16">
        <f t="shared" si="11"/>
        <v>0.99370981269220238</v>
      </c>
    </row>
    <row r="149" ht="25" customHeight="1">
      <c r="A149" s="5">
        <v>145</v>
      </c>
      <c r="B149" s="6" t="s">
        <v>359</v>
      </c>
      <c r="C149" s="7" t="s">
        <v>360</v>
      </c>
      <c r="D149" s="8" t="s">
        <v>240</v>
      </c>
      <c r="E149" s="9">
        <v>1</v>
      </c>
      <c r="F149" s="10">
        <f t="shared" si="9"/>
        <v>4.6593980057776538e-05</v>
      </c>
      <c r="G149" s="10">
        <f t="shared" si="10"/>
        <v>1.2915057665732477e-05</v>
      </c>
      <c r="H149" s="10">
        <f t="shared" si="11"/>
        <v>0.99375640667226017</v>
      </c>
    </row>
    <row r="150" ht="25" customHeight="1">
      <c r="A150" s="11">
        <v>146</v>
      </c>
      <c r="B150" s="12" t="s">
        <v>361</v>
      </c>
      <c r="C150" s="13" t="s">
        <v>362</v>
      </c>
      <c r="D150" s="14" t="s">
        <v>240</v>
      </c>
      <c r="E150" s="15">
        <v>1</v>
      </c>
      <c r="F150" s="16">
        <f t="shared" si="9"/>
        <v>4.6593980057776538e-05</v>
      </c>
      <c r="G150" s="16">
        <f t="shared" si="10"/>
        <v>1.2915057665732477e-05</v>
      </c>
      <c r="H150" s="16">
        <f t="shared" si="11"/>
        <v>0.99380300065231797</v>
      </c>
    </row>
    <row r="151" ht="25" customHeight="1">
      <c r="A151" s="5">
        <v>147</v>
      </c>
      <c r="B151" s="6" t="s">
        <v>363</v>
      </c>
      <c r="C151" s="7" t="s">
        <v>364</v>
      </c>
      <c r="D151" s="8" t="s">
        <v>240</v>
      </c>
      <c r="E151" s="9">
        <v>1</v>
      </c>
      <c r="F151" s="10">
        <f t="shared" si="9"/>
        <v>4.6593980057776538e-05</v>
      </c>
      <c r="G151" s="10">
        <f t="shared" si="10"/>
        <v>1.2915057665732477e-05</v>
      </c>
      <c r="H151" s="10">
        <f t="shared" si="11"/>
        <v>0.99384959463237577</v>
      </c>
    </row>
    <row r="152" ht="25" customHeight="1">
      <c r="A152" s="11">
        <v>148</v>
      </c>
      <c r="B152" s="12" t="s">
        <v>365</v>
      </c>
      <c r="C152" s="13" t="s">
        <v>366</v>
      </c>
      <c r="D152" s="14" t="s">
        <v>240</v>
      </c>
      <c r="E152" s="15">
        <v>1</v>
      </c>
      <c r="F152" s="16">
        <f t="shared" si="9"/>
        <v>4.6593980057776538e-05</v>
      </c>
      <c r="G152" s="16">
        <f t="shared" si="10"/>
        <v>1.2915057665732477e-05</v>
      </c>
      <c r="H152" s="16">
        <f t="shared" si="11"/>
        <v>0.99389618861243356</v>
      </c>
    </row>
    <row r="153" ht="25" customHeight="1">
      <c r="A153" s="5">
        <v>149</v>
      </c>
      <c r="B153" s="6" t="s">
        <v>367</v>
      </c>
      <c r="C153" s="7" t="s">
        <v>368</v>
      </c>
      <c r="D153" s="8" t="s">
        <v>240</v>
      </c>
      <c r="E153" s="9">
        <v>1</v>
      </c>
      <c r="F153" s="10">
        <f t="shared" si="9"/>
        <v>4.6593980057776538e-05</v>
      </c>
      <c r="G153" s="10">
        <f t="shared" si="10"/>
        <v>1.2915057665732477e-05</v>
      </c>
      <c r="H153" s="10">
        <f t="shared" si="11"/>
        <v>0.99394278259249136</v>
      </c>
    </row>
    <row r="154" ht="25" customHeight="1">
      <c r="A154" s="11">
        <v>150</v>
      </c>
      <c r="B154" s="12" t="s">
        <v>369</v>
      </c>
      <c r="C154" s="13" t="s">
        <v>370</v>
      </c>
      <c r="D154" s="14" t="s">
        <v>240</v>
      </c>
      <c r="E154" s="15">
        <v>1</v>
      </c>
      <c r="F154" s="16">
        <f t="shared" si="9"/>
        <v>4.6593980057776538e-05</v>
      </c>
      <c r="G154" s="16">
        <f t="shared" si="10"/>
        <v>1.2915057665732477e-05</v>
      </c>
      <c r="H154" s="16">
        <f t="shared" si="11"/>
        <v>0.99398937657254915</v>
      </c>
    </row>
    <row r="155" ht="25" customHeight="1">
      <c r="A155" s="5">
        <v>151</v>
      </c>
      <c r="B155" s="6" t="s">
        <v>371</v>
      </c>
      <c r="C155" s="7" t="s">
        <v>372</v>
      </c>
      <c r="D155" s="8" t="s">
        <v>240</v>
      </c>
      <c r="E155" s="9">
        <v>1</v>
      </c>
      <c r="F155" s="10">
        <f t="shared" si="9"/>
        <v>4.6593980057776538e-05</v>
      </c>
      <c r="G155" s="10">
        <f t="shared" si="10"/>
        <v>1.2915057665732477e-05</v>
      </c>
      <c r="H155" s="10">
        <f t="shared" si="11"/>
        <v>0.99403597055260695</v>
      </c>
    </row>
    <row r="156" ht="25" customHeight="1">
      <c r="A156" s="11">
        <v>152</v>
      </c>
      <c r="B156" s="12" t="s">
        <v>373</v>
      </c>
      <c r="C156" s="13" t="s">
        <v>374</v>
      </c>
      <c r="D156" s="14" t="s">
        <v>240</v>
      </c>
      <c r="E156" s="15">
        <v>1</v>
      </c>
      <c r="F156" s="16">
        <f t="shared" si="9"/>
        <v>4.6593980057776538e-05</v>
      </c>
      <c r="G156" s="16">
        <f t="shared" si="10"/>
        <v>1.2915057665732477e-05</v>
      </c>
      <c r="H156" s="16">
        <f t="shared" si="11"/>
        <v>0.99408256453266475</v>
      </c>
    </row>
    <row r="157" ht="25" customHeight="1">
      <c r="A157" s="5">
        <v>153</v>
      </c>
      <c r="B157" s="6" t="s">
        <v>375</v>
      </c>
      <c r="C157" s="7" t="s">
        <v>376</v>
      </c>
      <c r="D157" s="8" t="s">
        <v>240</v>
      </c>
      <c r="E157" s="9">
        <v>1</v>
      </c>
      <c r="F157" s="10">
        <f t="shared" si="9"/>
        <v>4.6593980057776538e-05</v>
      </c>
      <c r="G157" s="10">
        <f t="shared" si="10"/>
        <v>1.2915057665732477e-05</v>
      </c>
      <c r="H157" s="10">
        <f t="shared" si="11"/>
        <v>0.99412915851272254</v>
      </c>
    </row>
    <row r="158" ht="25" customHeight="1">
      <c r="A158" s="11">
        <v>154</v>
      </c>
      <c r="B158" s="12" t="s">
        <v>377</v>
      </c>
      <c r="C158" s="13" t="s">
        <v>378</v>
      </c>
      <c r="D158" s="14" t="s">
        <v>240</v>
      </c>
      <c r="E158" s="15">
        <v>1</v>
      </c>
      <c r="F158" s="16">
        <f t="shared" si="9"/>
        <v>4.6593980057776538e-05</v>
      </c>
      <c r="G158" s="16">
        <f t="shared" si="10"/>
        <v>1.2915057665732477e-05</v>
      </c>
      <c r="H158" s="16">
        <f t="shared" si="11"/>
        <v>0.99417575249278034</v>
      </c>
    </row>
    <row r="159" ht="25" customHeight="1">
      <c r="A159" s="5">
        <v>155</v>
      </c>
      <c r="B159" s="6" t="s">
        <v>379</v>
      </c>
      <c r="C159" s="7" t="s">
        <v>380</v>
      </c>
      <c r="D159" s="8" t="s">
        <v>240</v>
      </c>
      <c r="E159" s="9">
        <v>1</v>
      </c>
      <c r="F159" s="10">
        <f t="shared" si="9"/>
        <v>4.6593980057776538e-05</v>
      </c>
      <c r="G159" s="10">
        <f t="shared" si="10"/>
        <v>1.2915057665732477e-05</v>
      </c>
      <c r="H159" s="10">
        <f t="shared" si="11"/>
        <v>0.99422234647283814</v>
      </c>
    </row>
    <row r="160" ht="25" customHeight="1">
      <c r="A160" s="11">
        <v>156</v>
      </c>
      <c r="B160" s="12" t="s">
        <v>381</v>
      </c>
      <c r="C160" s="13" t="s">
        <v>382</v>
      </c>
      <c r="D160" s="14" t="s">
        <v>240</v>
      </c>
      <c r="E160" s="15">
        <v>1</v>
      </c>
      <c r="F160" s="16">
        <f t="shared" si="9"/>
        <v>4.6593980057776538e-05</v>
      </c>
      <c r="G160" s="16">
        <f t="shared" si="10"/>
        <v>1.2915057665732477e-05</v>
      </c>
      <c r="H160" s="16">
        <f t="shared" si="11"/>
        <v>0.99426894045289593</v>
      </c>
    </row>
    <row r="161" ht="25" customHeight="1">
      <c r="A161" s="5">
        <v>157</v>
      </c>
      <c r="B161" s="6" t="s">
        <v>383</v>
      </c>
      <c r="C161" s="7" t="s">
        <v>384</v>
      </c>
      <c r="D161" s="8" t="s">
        <v>240</v>
      </c>
      <c r="E161" s="9">
        <v>1</v>
      </c>
      <c r="F161" s="10">
        <f t="shared" si="9"/>
        <v>4.6593980057776538e-05</v>
      </c>
      <c r="G161" s="10">
        <f t="shared" si="10"/>
        <v>1.2915057665732477e-05</v>
      </c>
      <c r="H161" s="10">
        <f t="shared" si="11"/>
        <v>0.99431553443295373</v>
      </c>
    </row>
    <row r="162" ht="25" customHeight="1">
      <c r="A162" s="11">
        <v>158</v>
      </c>
      <c r="B162" s="12" t="s">
        <v>385</v>
      </c>
      <c r="C162" s="13" t="s">
        <v>386</v>
      </c>
      <c r="D162" s="14" t="s">
        <v>240</v>
      </c>
      <c r="E162" s="15">
        <v>1</v>
      </c>
      <c r="F162" s="16">
        <f t="shared" si="9"/>
        <v>4.6593980057776538e-05</v>
      </c>
      <c r="G162" s="16">
        <f t="shared" si="10"/>
        <v>1.2915057665732477e-05</v>
      </c>
      <c r="H162" s="16">
        <f t="shared" si="11"/>
        <v>0.99436212841301153</v>
      </c>
    </row>
    <row r="163" ht="25" customHeight="1">
      <c r="A163" s="5">
        <v>159</v>
      </c>
      <c r="B163" s="6" t="s">
        <v>387</v>
      </c>
      <c r="C163" s="7" t="s">
        <v>388</v>
      </c>
      <c r="D163" s="8" t="s">
        <v>240</v>
      </c>
      <c r="E163" s="9">
        <v>1</v>
      </c>
      <c r="F163" s="10">
        <f t="shared" si="9"/>
        <v>4.6593980057776538e-05</v>
      </c>
      <c r="G163" s="10">
        <f t="shared" si="10"/>
        <v>1.2915057665732477e-05</v>
      </c>
      <c r="H163" s="10">
        <f t="shared" si="11"/>
        <v>0.99440872239306932</v>
      </c>
    </row>
    <row r="164" ht="25" customHeight="1">
      <c r="A164" s="11">
        <v>160</v>
      </c>
      <c r="B164" s="12" t="s">
        <v>389</v>
      </c>
      <c r="C164" s="13" t="s">
        <v>390</v>
      </c>
      <c r="D164" s="14" t="s">
        <v>240</v>
      </c>
      <c r="E164" s="15">
        <v>1</v>
      </c>
      <c r="F164" s="16">
        <f t="shared" ref="F164:F177" si="12">E164/$E$178</f>
        <v>4.6593980057776538e-05</v>
      </c>
      <c r="G164" s="16">
        <f t="shared" ref="G164:G177" si="13">E164/77429</f>
        <v>1.2915057665732477e-05</v>
      </c>
      <c r="H164" s="16">
        <f t="shared" si="11"/>
        <v>0.99445531637312712</v>
      </c>
    </row>
    <row r="165" ht="25" customHeight="1">
      <c r="A165" s="5">
        <v>161</v>
      </c>
      <c r="B165" s="6" t="s">
        <v>391</v>
      </c>
      <c r="C165" s="7" t="s">
        <v>392</v>
      </c>
      <c r="D165" s="8" t="s">
        <v>240</v>
      </c>
      <c r="E165" s="9">
        <v>1</v>
      </c>
      <c r="F165" s="10">
        <f t="shared" si="12"/>
        <v>4.6593980057776538e-05</v>
      </c>
      <c r="G165" s="10">
        <f t="shared" si="13"/>
        <v>1.2915057665732477e-05</v>
      </c>
      <c r="H165" s="10">
        <f t="shared" ref="H165:H177" si="14">H164+F165</f>
        <v>0.99450191035318491</v>
      </c>
    </row>
    <row r="166" ht="25" customHeight="1">
      <c r="A166" s="11">
        <v>162</v>
      </c>
      <c r="B166" s="12" t="s">
        <v>393</v>
      </c>
      <c r="C166" s="13" t="s">
        <v>394</v>
      </c>
      <c r="D166" s="14" t="s">
        <v>240</v>
      </c>
      <c r="E166" s="15">
        <v>1</v>
      </c>
      <c r="F166" s="16">
        <f t="shared" si="12"/>
        <v>4.6593980057776538e-05</v>
      </c>
      <c r="G166" s="16">
        <f t="shared" si="13"/>
        <v>1.2915057665732477e-05</v>
      </c>
      <c r="H166" s="16">
        <f t="shared" si="14"/>
        <v>0.99454850433324271</v>
      </c>
    </row>
    <row r="167" ht="25" customHeight="1">
      <c r="A167" s="5">
        <v>163</v>
      </c>
      <c r="B167" s="6" t="s">
        <v>395</v>
      </c>
      <c r="C167" s="7" t="s">
        <v>396</v>
      </c>
      <c r="D167" s="8" t="s">
        <v>240</v>
      </c>
      <c r="E167" s="9">
        <v>1</v>
      </c>
      <c r="F167" s="10">
        <f t="shared" si="12"/>
        <v>4.6593980057776538e-05</v>
      </c>
      <c r="G167" s="10">
        <f t="shared" si="13"/>
        <v>1.2915057665732477e-05</v>
      </c>
      <c r="H167" s="10">
        <f t="shared" si="14"/>
        <v>0.99459509831330051</v>
      </c>
    </row>
    <row r="168" ht="25" customHeight="1">
      <c r="A168" s="11">
        <v>164</v>
      </c>
      <c r="B168" s="12" t="s">
        <v>397</v>
      </c>
      <c r="C168" s="13" t="s">
        <v>398</v>
      </c>
      <c r="D168" s="14" t="s">
        <v>240</v>
      </c>
      <c r="E168" s="15">
        <v>1</v>
      </c>
      <c r="F168" s="16">
        <f t="shared" si="12"/>
        <v>4.6593980057776538e-05</v>
      </c>
      <c r="G168" s="16">
        <f t="shared" si="13"/>
        <v>1.2915057665732477e-05</v>
      </c>
      <c r="H168" s="16">
        <f t="shared" si="14"/>
        <v>0.9946416922933583</v>
      </c>
    </row>
    <row r="169" ht="25" customHeight="1">
      <c r="A169" s="5">
        <v>165</v>
      </c>
      <c r="B169" s="6" t="s">
        <v>399</v>
      </c>
      <c r="C169" s="7" t="s">
        <v>400</v>
      </c>
      <c r="D169" s="8" t="s">
        <v>240</v>
      </c>
      <c r="E169" s="9">
        <v>1</v>
      </c>
      <c r="F169" s="10">
        <f t="shared" si="12"/>
        <v>4.6593980057776538e-05</v>
      </c>
      <c r="G169" s="10">
        <f t="shared" si="13"/>
        <v>1.2915057665732477e-05</v>
      </c>
      <c r="H169" s="10">
        <f t="shared" si="14"/>
        <v>0.9946882862734161</v>
      </c>
    </row>
    <row r="170" ht="25" customHeight="1">
      <c r="A170" s="11">
        <v>166</v>
      </c>
      <c r="B170" s="12" t="s">
        <v>401</v>
      </c>
      <c r="C170" s="13" t="s">
        <v>402</v>
      </c>
      <c r="D170" s="14" t="s">
        <v>240</v>
      </c>
      <c r="E170" s="15">
        <v>1</v>
      </c>
      <c r="F170" s="16">
        <f t="shared" si="12"/>
        <v>4.6593980057776538e-05</v>
      </c>
      <c r="G170" s="16">
        <f t="shared" si="13"/>
        <v>1.2915057665732477e-05</v>
      </c>
      <c r="H170" s="16">
        <f t="shared" si="14"/>
        <v>0.9947348802534739</v>
      </c>
    </row>
    <row r="171" ht="25" customHeight="1">
      <c r="A171" s="5">
        <v>167</v>
      </c>
      <c r="B171" s="6" t="s">
        <v>403</v>
      </c>
      <c r="C171" s="7" t="s">
        <v>404</v>
      </c>
      <c r="D171" s="8" t="s">
        <v>240</v>
      </c>
      <c r="E171" s="9">
        <v>1</v>
      </c>
      <c r="F171" s="10">
        <f t="shared" si="12"/>
        <v>4.6593980057776538e-05</v>
      </c>
      <c r="G171" s="10">
        <f t="shared" si="13"/>
        <v>1.2915057665732477e-05</v>
      </c>
      <c r="H171" s="10">
        <f t="shared" si="14"/>
        <v>0.99478147423353169</v>
      </c>
    </row>
    <row r="172" ht="25" customHeight="1">
      <c r="A172" s="11">
        <v>168</v>
      </c>
      <c r="B172" s="12" t="s">
        <v>405</v>
      </c>
      <c r="C172" s="13" t="s">
        <v>406</v>
      </c>
      <c r="D172" s="14" t="s">
        <v>240</v>
      </c>
      <c r="E172" s="15">
        <v>1</v>
      </c>
      <c r="F172" s="16">
        <f t="shared" si="12"/>
        <v>4.6593980057776538e-05</v>
      </c>
      <c r="G172" s="16">
        <f t="shared" si="13"/>
        <v>1.2915057665732477e-05</v>
      </c>
      <c r="H172" s="16">
        <f t="shared" si="14"/>
        <v>0.99482806821358949</v>
      </c>
    </row>
    <row r="173" ht="25" customHeight="1">
      <c r="A173" s="5">
        <v>169</v>
      </c>
      <c r="B173" s="6" t="s">
        <v>407</v>
      </c>
      <c r="C173" s="7" t="s">
        <v>408</v>
      </c>
      <c r="D173" s="8" t="s">
        <v>240</v>
      </c>
      <c r="E173" s="9">
        <v>1</v>
      </c>
      <c r="F173" s="10">
        <f t="shared" si="12"/>
        <v>4.6593980057776538e-05</v>
      </c>
      <c r="G173" s="10">
        <f t="shared" si="13"/>
        <v>1.2915057665732477e-05</v>
      </c>
      <c r="H173" s="10">
        <f t="shared" si="14"/>
        <v>0.99487466219364729</v>
      </c>
    </row>
    <row r="174" ht="25" customHeight="1">
      <c r="A174" s="11">
        <v>170</v>
      </c>
      <c r="B174" s="12" t="s">
        <v>409</v>
      </c>
      <c r="C174" s="13" t="s">
        <v>410</v>
      </c>
      <c r="D174" s="14" t="s">
        <v>240</v>
      </c>
      <c r="E174" s="15">
        <v>1</v>
      </c>
      <c r="F174" s="16">
        <f t="shared" si="12"/>
        <v>4.6593980057776538e-05</v>
      </c>
      <c r="G174" s="16">
        <f t="shared" si="13"/>
        <v>1.2915057665732477e-05</v>
      </c>
      <c r="H174" s="16">
        <f t="shared" si="14"/>
        <v>0.99492125617370508</v>
      </c>
    </row>
    <row r="175" ht="25" customHeight="1">
      <c r="A175" s="5">
        <v>171</v>
      </c>
      <c r="B175" s="6" t="s">
        <v>411</v>
      </c>
      <c r="C175" s="7" t="s">
        <v>412</v>
      </c>
      <c r="D175" s="8" t="s">
        <v>240</v>
      </c>
      <c r="E175" s="9">
        <v>1</v>
      </c>
      <c r="F175" s="10">
        <f t="shared" si="12"/>
        <v>4.6593980057776538e-05</v>
      </c>
      <c r="G175" s="10">
        <f t="shared" si="13"/>
        <v>1.2915057665732477e-05</v>
      </c>
      <c r="H175" s="10">
        <f t="shared" si="14"/>
        <v>0.99496785015376288</v>
      </c>
    </row>
    <row r="176" ht="25" customHeight="1">
      <c r="A176" s="11">
        <v>172</v>
      </c>
      <c r="B176" s="12" t="s">
        <v>413</v>
      </c>
      <c r="C176" s="13" t="s">
        <v>414</v>
      </c>
      <c r="D176" s="14" t="s">
        <v>240</v>
      </c>
      <c r="E176" s="15">
        <v>1</v>
      </c>
      <c r="F176" s="16">
        <f t="shared" si="12"/>
        <v>4.6593980057776538e-05</v>
      </c>
      <c r="G176" s="16">
        <f t="shared" si="13"/>
        <v>1.2915057665732477e-05</v>
      </c>
      <c r="H176" s="16">
        <f t="shared" si="14"/>
        <v>0.99501444413382067</v>
      </c>
    </row>
    <row r="177" ht="25" customHeight="1">
      <c r="A177" s="5">
        <v>173</v>
      </c>
      <c r="B177" s="6" t="s">
        <v>415</v>
      </c>
      <c r="C177" s="7" t="s">
        <v>416</v>
      </c>
      <c r="D177" s="8" t="s">
        <v>240</v>
      </c>
      <c r="E177" s="9">
        <v>107</v>
      </c>
      <c r="F177" s="10">
        <f t="shared" si="12"/>
        <v>0.0049855558661820896</v>
      </c>
      <c r="G177" s="10">
        <f t="shared" si="13"/>
        <v>0.0013819111702333751</v>
      </c>
      <c r="H177" s="10">
        <f t="shared" si="14"/>
        <v>1.0000000000000027</v>
      </c>
    </row>
    <row r="178" ht="22" customHeight="1">
      <c r="A178" s="17" t="s">
        <v>417</v>
      </c>
      <c r="B178" s="17" t="s">
        <v>418</v>
      </c>
      <c r="C178" s="18"/>
      <c r="D178" s="18"/>
      <c r="E178" s="19">
        <f>SUM(E5:E177)</f>
        <v>21462</v>
      </c>
      <c r="F178" s="20">
        <f>SUM(F5:F177)</f>
        <v>1.0000000000000027</v>
      </c>
      <c r="G178" s="21">
        <f>SUM(G5:G177)</f>
        <v>0.27718296762195077</v>
      </c>
      <c r="H178" s="22" t="s">
        <v>419</v>
      </c>
    </row>
  </sheetData>
  <mergeCells count="2">
    <mergeCell ref="A1:H1"/>
    <mergeCell ref="A2:H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4</cp:revision>
  <dcterms:created xsi:type="dcterms:W3CDTF">2026-09-02T04:31:31Z</dcterms:created>
  <dcterms:modified xsi:type="dcterms:W3CDTF">2026-09-03T11:42:12Z</dcterms:modified>
</cp:coreProperties>
</file>