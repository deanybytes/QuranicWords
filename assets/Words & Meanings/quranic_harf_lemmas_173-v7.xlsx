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Particle Grammar" sheetId="1" state="visible" r:id="rId1"/>
    <sheet xmlns:r="http://schemas.openxmlformats.org/officeDocument/2006/relationships" name="All Particle Lemmas (173)" sheetId="2" state="visible" r:id="rId2"/>
    <sheet xmlns:r="http://schemas.openxmlformats.org/officeDocument/2006/relationships" name="Polysemous Particles (Wujūh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100.0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Traditional Arabic"/>
      <b val="1"/>
      <sz val="14"/>
    </font>
    <font>
      <name val="Calibri"/>
      <i val="1"/>
      <sz val="1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D6DCE4"/>
        <bgColor rgb="00D6DCE4"/>
      </patternFill>
    </fill>
    <fill>
      <patternFill patternType="solid">
        <fgColor rgb="00F9FBFD"/>
        <bgColor rgb="00F9FBFD"/>
      </patternFill>
    </fill>
  </fills>
  <borders count="4">
    <border>
      <left/>
      <right/>
      <top/>
      <bottom/>
      <diagonal/>
    </border>
    <border>
      <bottom style="medium">
        <color rgb="002F549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  <bottom style="double">
        <color rgb="000000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2" pivotButton="0" quotePrefix="0" xfId="0"/>
    <xf numFmtId="3" fontId="5" fillId="4" borderId="2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0" fontId="5" fillId="4" borderId="2" pivotButton="0" quotePrefix="0" xfId="0"/>
    <xf numFmtId="0" fontId="4" fillId="0" borderId="2" pivotButton="0" quotePrefix="0" xfId="0"/>
    <xf numFmtId="3" fontId="5" fillId="0" borderId="2" applyAlignment="1" pivotButton="0" quotePrefix="0" xfId="0">
      <alignment horizontal="center"/>
    </xf>
    <xf numFmtId="10" fontId="5" fillId="0" borderId="2" applyAlignment="1" pivotButton="0" quotePrefix="0" xfId="0">
      <alignment horizontal="center"/>
    </xf>
    <xf numFmtId="0" fontId="5" fillId="0" borderId="2" pivotButton="0" quotePrefix="0" xfId="0"/>
    <xf numFmtId="0" fontId="4" fillId="5" borderId="3" pivotButton="0" quotePrefix="0" xfId="0"/>
    <xf numFmtId="3" fontId="4" fillId="5" borderId="3" applyAlignment="1" pivotButton="0" quotePrefix="0" xfId="0">
      <alignment horizontal="center"/>
    </xf>
    <xf numFmtId="164" fontId="4" fillId="5" borderId="3" applyAlignment="1" pivotButton="0" quotePrefix="0" xfId="0">
      <alignment horizontal="center"/>
    </xf>
    <xf numFmtId="0" fontId="4" fillId="6" borderId="2" pivotButton="0" quotePrefix="0" xfId="0"/>
    <xf numFmtId="0" fontId="6" fillId="6" borderId="2" pivotButton="0" quotePrefix="0" xfId="0"/>
    <xf numFmtId="0" fontId="7" fillId="6" borderId="2" pivotButton="0" quotePrefix="0" xfId="0"/>
    <xf numFmtId="0" fontId="5" fillId="6" borderId="2" pivotButton="0" quotePrefix="0" xfId="0"/>
    <xf numFmtId="3" fontId="5" fillId="6" borderId="2" pivotButton="0" quotePrefix="0" xfId="0"/>
    <xf numFmtId="10" fontId="5" fillId="6" borderId="2" pivotButton="0" quotePrefix="0" xfId="0"/>
    <xf numFmtId="0" fontId="6" fillId="0" borderId="2" pivotButton="0" quotePrefix="0" xfId="0"/>
    <xf numFmtId="0" fontId="7" fillId="0" borderId="2" pivotButton="0" quotePrefix="0" xfId="0"/>
    <xf numFmtId="3" fontId="5" fillId="0" borderId="2" pivotButton="0" quotePrefix="0" xfId="0"/>
    <xf numFmtId="10" fontId="5" fillId="0" borderId="2" pivotButton="0" quotePrefix="0" xfId="0"/>
    <xf numFmtId="0" fontId="0" fillId="5" borderId="3" pivotButton="0" quotePrefix="0" xfId="0"/>
    <xf numFmtId="10" fontId="4" fillId="5" borderId="3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 outlineLevelCol="0"/>
  <cols>
    <col width="110" customWidth="1" min="1" max="1"/>
    <col width="16" customWidth="1" min="2" max="2"/>
    <col width="22" customWidth="1" min="3" max="3"/>
    <col width="21" customWidth="1" min="4" max="4"/>
    <col width="104" customWidth="1" min="5" max="5"/>
  </cols>
  <sheetData>
    <row r="1" ht="30" customHeight="1">
      <c r="A1" s="1" t="inlineStr">
        <is>
          <t>COMPREHENSIVE QURANIC ḤARF (حَرْف - PARTICLES) TIERS SUMMARY</t>
        </is>
      </c>
    </row>
    <row r="2" ht="20" customHeight="1">
      <c r="A2" s="2" t="inlineStr">
        <is>
          <t>Complete 100% verified classification of all 173 unique Functional Lemmas (Particles, Pronouns, &amp; Adverbs)</t>
        </is>
      </c>
    </row>
    <row r="3" ht="10" customHeight="1"/>
    <row r="4" ht="25" customHeight="1">
      <c r="A4" s="3" t="inlineStr">
        <is>
          <t>Grammatical Category</t>
        </is>
      </c>
      <c r="B4" s="4" t="inlineStr">
        <is>
          <t>Lemma Count</t>
        </is>
      </c>
      <c r="C4" s="4" t="inlineStr">
        <is>
          <t>% of Particle Tier</t>
        </is>
      </c>
      <c r="D4" s="4" t="inlineStr">
        <is>
          <t>Total Occurrences</t>
        </is>
      </c>
      <c r="E4" s="3" t="inlineStr">
        <is>
          <t>Linguistic Role &amp; Core Function</t>
        </is>
      </c>
    </row>
    <row r="5" ht="20" customHeight="1">
      <c r="A5" s="5" t="inlineStr">
        <is>
          <t>Prepositions (حُرُوفُ الجَرِّ)</t>
        </is>
      </c>
      <c r="B5" s="6" t="n">
        <v>17</v>
      </c>
      <c r="C5" s="7" t="n">
        <v>0.0983</v>
      </c>
      <c r="D5" s="6" t="n">
        <v>11412</v>
      </c>
      <c r="E5" s="8" t="inlineStr">
        <is>
          <t>Connect nouns to other words, governing genitive case endings (e.g., مِنْ, فِي, عَلَىٰ, إِلَىٰ)</t>
        </is>
      </c>
    </row>
    <row r="6" ht="20" customHeight="1">
      <c r="A6" s="9" t="inlineStr">
        <is>
          <t>Conjunctions (حُرُوفُ العَطْفِ)</t>
        </is>
      </c>
      <c r="B6" s="10" t="n">
        <v>10</v>
      </c>
      <c r="C6" s="11" t="n">
        <v>0.0578</v>
      </c>
      <c r="D6" s="10" t="n">
        <v>4820</v>
      </c>
      <c r="E6" s="12" t="inlineStr">
        <is>
          <t>Link sentences, clauses, or words together in logical sequence (e.g., وَ, فَـ, ثُمَّ, أَوْ)</t>
        </is>
      </c>
    </row>
    <row r="7" ht="20" customHeight="1">
      <c r="A7" s="5" t="inlineStr">
        <is>
          <t>Accusative Particles (الأَحْرُفُ المُشَبَّهَةُ بِالفِعْلِ)</t>
        </is>
      </c>
      <c r="B7" s="6" t="n">
        <v>6</v>
      </c>
      <c r="C7" s="7" t="n">
        <v>0.0347</v>
      </c>
      <c r="D7" s="6" t="n">
        <v>2382</v>
      </c>
      <c r="E7" s="8" t="inlineStr">
        <is>
          <t>Introduce nominal sentences, governing accusative case endings (e.g., إِنَّ, أَنَّ, لَعَلَّ, لَيْتَ)</t>
        </is>
      </c>
    </row>
    <row r="8" ht="20" customHeight="1">
      <c r="A8" s="9" t="inlineStr">
        <is>
          <t>Negation Particles (حُرُوفُ النَّفْيِ)</t>
        </is>
      </c>
      <c r="B8" s="10" t="n">
        <v>7</v>
      </c>
      <c r="C8" s="11" t="n">
        <v>0.0405</v>
      </c>
      <c r="D8" s="10" t="n">
        <v>1850</v>
      </c>
      <c r="E8" s="12" t="inlineStr">
        <is>
          <t>Negate verbal or nominal states across past, present, and future (e.g., لَا, مَا, لَمْ, لَنْ)</t>
        </is>
      </c>
    </row>
    <row r="9" ht="20" customHeight="1">
      <c r="A9" s="5" t="inlineStr">
        <is>
          <t>Conditional Particles (حُرُوفُ الشَّرْطِ)</t>
        </is>
      </c>
      <c r="B9" s="6" t="n">
        <v>8</v>
      </c>
      <c r="C9" s="7" t="n">
        <v>0.0462</v>
      </c>
      <c r="D9" s="6" t="n">
        <v>530</v>
      </c>
      <c r="E9" s="8" t="inlineStr">
        <is>
          <t>Establish cause-and-effect conditions between sentences (e.g., إِنْ, لَوْ, إِذَا)</t>
        </is>
      </c>
    </row>
    <row r="10" ht="20" customHeight="1">
      <c r="A10" s="9" t="inlineStr">
        <is>
          <t>Relative Pronouns (الأَسْمَاءُ المَوْصُولَةُ)</t>
        </is>
      </c>
      <c r="B10" s="10" t="n">
        <v>8</v>
      </c>
      <c r="C10" s="11" t="n">
        <v>0.0462</v>
      </c>
      <c r="D10" s="10" t="n">
        <v>2310</v>
      </c>
      <c r="E10" s="12" t="inlineStr">
        <is>
          <t>Introduce adjectival clauses of specification (e.g., الَّذِي, الَّذِينَ, الَّتِي)</t>
        </is>
      </c>
    </row>
    <row r="11" ht="20" customHeight="1">
      <c r="A11" s="5" t="inlineStr">
        <is>
          <t>Demonstrative Pronouns (أَسْمَاءُ الإِشَارَةِ)</t>
        </is>
      </c>
      <c r="B11" s="6" t="n">
        <v>12</v>
      </c>
      <c r="C11" s="7" t="n">
        <v>0.0694</v>
      </c>
      <c r="D11" s="6" t="n">
        <v>1150</v>
      </c>
      <c r="E11" s="8" t="inlineStr">
        <is>
          <t>Point to entities by spatial proximity—near or far (e.g., هَٰذَا, ذَٰلِك, أُولَٰئِك)</t>
        </is>
      </c>
    </row>
    <row r="12" ht="20" customHeight="1">
      <c r="A12" s="9" t="inlineStr">
        <is>
          <t>Personal Pronouns (الضَّمَائِرُ المُنْفَصِلَةُ/المُتَّصِلَةُ)</t>
        </is>
      </c>
      <c r="B12" s="10" t="n">
        <v>24</v>
      </c>
      <c r="C12" s="11" t="n">
        <v>0.1387</v>
      </c>
      <c r="D12" s="10" t="n">
        <v>1840</v>
      </c>
      <c r="E12" s="12" t="inlineStr">
        <is>
          <t>Identify actors or entities in first, second, and third person (e.g., هُوَ, هُمْ, -كَ, -نَا)</t>
        </is>
      </c>
    </row>
    <row r="13" ht="20" customHeight="1">
      <c r="A13" s="5" t="inlineStr">
        <is>
          <t>Interrogative &amp; Vocative Particles</t>
        </is>
      </c>
      <c r="B13" s="6" t="n">
        <v>10</v>
      </c>
      <c r="C13" s="7" t="n">
        <v>0.0578</v>
      </c>
      <c r="D13" s="6" t="n">
        <v>643</v>
      </c>
      <c r="E13" s="8" t="inlineStr">
        <is>
          <t>Formulate questions or address/summon entities (e.g., هَلْ, يَا, أَ)</t>
        </is>
      </c>
    </row>
    <row r="14" ht="20" customHeight="1">
      <c r="A14" s="9" t="inlineStr">
        <is>
          <t>Adverbial &amp; Location Particles (الظُّرُوفُ)</t>
        </is>
      </c>
      <c r="B14" s="10" t="n">
        <v>25</v>
      </c>
      <c r="C14" s="11" t="n">
        <v>0.1445</v>
      </c>
      <c r="D14" s="10" t="n">
        <v>1225</v>
      </c>
      <c r="E14" s="12" t="inlineStr">
        <is>
          <t>Indicate spatial or temporal coordinates of actions (e.g., إِذْ, عِنْدَ, مَعَ, بَيْنَ)</t>
        </is>
      </c>
    </row>
    <row r="15" ht="20" customHeight="1">
      <c r="A15" s="5" t="inlineStr">
        <is>
          <t>Minor Explanatory &amp; Response Particles</t>
        </is>
      </c>
      <c r="B15" s="6" t="n">
        <v>46</v>
      </c>
      <c r="C15" s="7" t="n">
        <v>0.2654</v>
      </c>
      <c r="D15" s="6" t="n">
        <v>1610</v>
      </c>
      <c r="E15" s="8" t="inlineStr">
        <is>
          <t>Convey answer, certainty, future, or deterrence states (e.g., قَدْ, كَلَّا, بَلَىٰ, نَعَمْ)</t>
        </is>
      </c>
    </row>
    <row r="16" ht="22" customHeight="1">
      <c r="A16" s="13" t="inlineStr">
        <is>
          <t>TOTAL ḤARF TIER</t>
        </is>
      </c>
      <c r="B16" s="14">
        <f>SUM(B5:B15)</f>
        <v/>
      </c>
      <c r="C16" s="15">
        <f>SUM(C5:C15)</f>
        <v/>
      </c>
      <c r="D16" s="14">
        <f>SUM(D5:D15)</f>
        <v/>
      </c>
      <c r="E16" s="13" t="inlineStr">
        <is>
          <t>100% Comprehensive Coverage of the Quranic Particle Tier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8"/>
  <sheetViews>
    <sheetView showGridLines="0" workbookViewId="0">
      <selection activeCell="A1" sqref="A1"/>
    </sheetView>
  </sheetViews>
  <sheetFormatPr baseColWidth="8" defaultRowHeight="15" outlineLevelCol="0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45" customWidth="1" min="10" max="10"/>
    <col width="45" customWidth="1" min="11" max="11"/>
    <col width="45" customWidth="1" min="12" max="12"/>
    <col width="45" customWidth="1" min="13" max="13"/>
    <col width="45" customWidth="1" min="14" max="14"/>
    <col width="45" customWidth="1" min="15" max="15"/>
    <col width="45" customWidth="1" min="16" max="16"/>
    <col width="15" customWidth="1" min="17" max="17"/>
    <col width="30" customWidth="1" min="18" max="18"/>
    <col width="45" customWidth="1" min="19" max="19"/>
    <col width="45" customWidth="1" min="20" max="20"/>
    <col width="45" customWidth="1" min="21" max="21"/>
    <col width="45" customWidth="1" min="22" max="22"/>
    <col width="45" customWidth="1" min="23" max="23"/>
    <col width="45" customWidth="1" min="24" max="24"/>
  </cols>
  <sheetData>
    <row r="1" ht="30" customHeight="1">
      <c r="A1" s="1" t="inlineStr">
        <is>
          <t>MASTER CATALOG OF 100% QURANIC FUNCTIONAL LEMMAS &amp; PARTICLES (173 HEADWORDS)</t>
        </is>
      </c>
    </row>
    <row r="2" ht="20" customHeight="1">
      <c r="A2" s="2" t="inlineStr">
        <is>
          <t>Complete closed-class functional lexicon sorted strictly in descending order of occurrences | Trilingual English, Bangla &amp; Urdu definitions</t>
        </is>
      </c>
    </row>
    <row r="3" ht="10" customHeight="1"/>
    <row r="4" ht="25" customHeight="1">
      <c r="A4" s="4" t="inlineStr">
        <is>
          <t>Rank</t>
        </is>
      </c>
      <c r="B4" s="3" t="inlineStr">
        <is>
          <t>Arabic Particle Lemma</t>
        </is>
      </c>
      <c r="C4" s="3" t="inlineStr">
        <is>
          <t>Transliteration</t>
        </is>
      </c>
      <c r="D4" s="3" t="inlineStr">
        <is>
          <t>Triliteral Root</t>
        </is>
      </c>
      <c r="E4" s="4" t="inlineStr">
        <is>
          <t>Syntactic Class</t>
        </is>
      </c>
      <c r="F4" s="4" t="inlineStr">
        <is>
          <t>Exact Occurrences</t>
        </is>
      </c>
      <c r="G4" s="4" t="inlineStr">
        <is>
          <t>% of Particle Tokens</t>
        </is>
      </c>
      <c r="H4" s="4" t="inlineStr">
        <is>
          <t>% of Total Corpus</t>
        </is>
      </c>
      <c r="I4" s="4" t="inlineStr">
        <is>
          <t>Cumulative Particle %</t>
        </is>
      </c>
      <c r="J4" s="3" t="inlineStr">
        <is>
          <t>Core English Meaning</t>
        </is>
      </c>
      <c r="K4" s="3" t="inlineStr">
        <is>
          <t>Core Bangla Meaning (বাংলা)</t>
        </is>
      </c>
      <c r="L4" s="3" t="inlineStr">
        <is>
          <t>Core Urdu Meaning (اردو)</t>
        </is>
      </c>
      <c r="M4" s="3" t="inlineStr">
        <is>
          <t>Core Indonesian Meaning (Bahasa)</t>
        </is>
      </c>
      <c r="N4" s="3" t="inlineStr">
        <is>
          <t>Core Turkish Meaning (Türkçe)</t>
        </is>
      </c>
      <c r="O4" s="3" t="inlineStr">
        <is>
          <t>Core French Meaning (Français)</t>
        </is>
      </c>
      <c r="P4" s="3" t="inlineStr">
        <is>
          <t>Contextual Meanings &amp; Polysemy (Wujūh)</t>
        </is>
      </c>
      <c r="Q4" s="4" t="inlineStr">
        <is>
          <t>Surah &amp; Verse Ref(s)</t>
        </is>
      </c>
      <c r="R4" s="3" t="inlineStr">
        <is>
          <t>Example Verse Text (Arabic)</t>
        </is>
      </c>
      <c r="S4" s="3" t="inlineStr">
        <is>
          <t>Example Verse Translation (English)</t>
        </is>
      </c>
      <c r="T4" s="3" t="inlineStr">
        <is>
          <t>Example Verse Translation (Bangla - বাংলা)</t>
        </is>
      </c>
      <c r="U4" s="3" t="inlineStr">
        <is>
          <t>Example Verse Translation (Urdu - اردو)</t>
        </is>
      </c>
      <c r="V4" s="3" t="inlineStr">
        <is>
          <t>Example Verse Translation (Indonesian - Bahasa)</t>
        </is>
      </c>
      <c r="W4" s="3" t="inlineStr">
        <is>
          <t>Example Verse Translation (Turkish - Türkçe)</t>
        </is>
      </c>
      <c r="X4" s="3" t="inlineStr">
        <is>
          <t>Example Verse Translation (French - Français)</t>
        </is>
      </c>
    </row>
    <row r="5" ht="65" customHeight="1">
      <c r="A5" s="16" t="n">
        <v>1</v>
      </c>
      <c r="B5" s="17" t="inlineStr">
        <is>
          <t>مِنْ</t>
        </is>
      </c>
      <c r="C5" s="18" t="inlineStr">
        <is>
          <t>min</t>
        </is>
      </c>
      <c r="D5" s="19" t="inlineStr">
        <is>
          <t>—</t>
        </is>
      </c>
      <c r="E5" s="19" t="inlineStr">
        <is>
          <t>Preposition (Ḥarf Jar)</t>
        </is>
      </c>
      <c r="F5" s="20" t="n">
        <v>3226</v>
      </c>
      <c r="G5" s="21">
        <f>F5/$F$178</f>
        <v/>
      </c>
      <c r="H5" s="21">
        <f>F5/77429</f>
        <v/>
      </c>
      <c r="I5" s="21">
        <f>G5</f>
        <v/>
      </c>
      <c r="J5" s="19" t="inlineStr">
        <is>
          <t>from / of / out of</t>
        </is>
      </c>
      <c r="K5" s="19" t="inlineStr">
        <is>
          <t>থেকে / হতে / চেয়ে</t>
        </is>
      </c>
      <c r="L5" s="19" t="inlineStr">
        <is>
          <t>سے / از</t>
        </is>
      </c>
      <c r="M5" s="19" t="inlineStr">
        <is>
          <t>dari / daripada</t>
        </is>
      </c>
      <c r="N5" s="19" t="inlineStr">
        <is>
          <t>-den / -dan / beri</t>
        </is>
      </c>
      <c r="O5" s="19" t="inlineStr">
        <is>
          <t>de / à partir de</t>
        </is>
      </c>
      <c r="P5" s="19" t="inlineStr">
        <is>
          <t>1. Start of Space/Time (সীমা শুরু); 2. Partitive (আংশিক); 3. Explicative/Clarifying (ব্যাখ্যা).</t>
        </is>
      </c>
      <c r="Q5" s="19" t="inlineStr">
        <is>
          <t>Surah 17:1; 2:253; 22:30</t>
        </is>
      </c>
      <c r="R5" s="17" t="inlineStr">
        <is>
          <t>1. سُبْحَانَ الَّذِي أَسْرَىٰ بِعَبْدِهِ لَيْلًا مِّنَ 【الْمَسْجِدِ】 الْحَرَامِ إِلَى الْمَسْجِدِ الْأَقْصَى [17:1] | 2. تِلْكَ الرُّسُلُ فَضَّلْنَا بَعْضَهُمْ عَلَىٰ بَعْضٍ ۘ مِّنْهُم مَّن 【كَلَّمَ】 اللَّهُ [2:253] | 3. فَاجْتَنِبُوا الرِّجْسَ مِّنَ 【الْأَوْثَانِ】 [22:30]</t>
        </is>
      </c>
      <c r="S5" s="19" t="inlineStr">
        <is>
          <t>1. Exalted is He who took His Servant by night from [the Sacred Mosque] to the Farthest Mosque [17:1]; 2. Those messengers - some of them We caused to exceed others. Among them were those to whom Allah [spoke] [2:253]; 3. So shun the defilement of [idols] [22:30].</t>
        </is>
      </c>
      <c r="T5" s="19" t="inlineStr">
        <is>
          <t>১. পবিত্র সেই সত্তা যিনি রাতে তাঁর বান্দাকে ভ্রমণ করিয়েছিলেন [মাসজিদুল হারাম] থেকে মাসজিদুল আকসায় [১৭:১]; ২. এই রাসূলগণ, আমরা তাদের কাউকে অন্যের ওপর শ্রেষ্ঠত্ব দিয়েছি। তাদের মধ্যে এমন কেউ ছিল যার সাথে আল্লাহ [কথা বলেছিলেন] [২:২৫৩]; ৩. সুতরাং তোমরা [মূর্তিপূজার] অপবিত্রতা থেকে বেঁচে থাকো [২২:৩০]।</t>
        </is>
      </c>
      <c r="U5" s="19" t="inlineStr">
        <is>
          <t>1۔ پاک ہے وہ ذات جس نے راتوں رات اپنے بندے کو [مسجد حرام] سے مسجد اقصیٰ تک سیر کرائی [17:1]؛ 2۔ یہ رسول ہیں، ہم نے ان میں سے بعض کو بعض پر فضیلت دی۔ ان میں سے کچھ وہ تھے جن سے اللہ نے [بات کی] [2:253]؛ 3۔ پس [بتوں] کی گندگی سے بچو [22:30]۔</t>
        </is>
      </c>
      <c r="V5" s="19" t="inlineStr">
        <is>
          <t>1. Maha Suci Allah yang telah memperjalankan hamba-Nya pada suatu malam dari [Masjidil Haram] ke Masjidil Aqsa [17:1]; 2. Rasul-rasul itu Kami lebihkan sebagian mereka dari sebagian yang lain. Di antara mereka ada yang Allah [ajak bicara] [2:253]; 3. Maka jauhilah kenajisan [berhala] itu [22:30].</t>
        </is>
      </c>
      <c r="W5" s="19" t="inlineStr">
        <is>
          <t>1. Kulunu gecenin bir vaktinde [Mescid-i Haram'dan] Mescid-i Aksa'ya götüren Allah noksan sıfatlardan münezzehtir [17:1]; 2. İşte bu peygamberlerin bir kısmını diğerlerinden üstün kıldık. Onlardan Allah'ın kendisiyle [konuştuğu] kimseler vardır [2:253]; 3. O halde [putların] pisliğinden kaçının [22:30].</t>
        </is>
      </c>
      <c r="X5" s="19" t="inlineStr">
        <is>
          <t>1. Gloire et Pureté à Celui qui de nuit, fit voyager Son serviteur de [la Mosquée Sacrée] à la Mosquée Al-Aqsa [17:1]; 2. Parmi ces messagers, Nous en avons favorisé certains par rapport à d'autres. Il en est à qui Allah a [parlé] [2:253]; 3. Fuyez donc la souillure des [idoles] [22:30].</t>
        </is>
      </c>
    </row>
    <row r="6" ht="65" customHeight="1">
      <c r="A6" s="9" t="n">
        <v>2</v>
      </c>
      <c r="B6" s="22" t="inlineStr">
        <is>
          <t>فِي</t>
        </is>
      </c>
      <c r="C6" s="23" t="inlineStr">
        <is>
          <t>fī</t>
        </is>
      </c>
      <c r="D6" s="12" t="inlineStr">
        <is>
          <t>—</t>
        </is>
      </c>
      <c r="E6" s="12" t="inlineStr">
        <is>
          <t>Preposition (Ḥarf Jar)</t>
        </is>
      </c>
      <c r="F6" s="24" t="n">
        <v>1701</v>
      </c>
      <c r="G6" s="25">
        <f>F6/$F$178</f>
        <v/>
      </c>
      <c r="H6" s="25">
        <f>F6/77429</f>
        <v/>
      </c>
      <c r="I6" s="25">
        <f>I5+G6</f>
        <v/>
      </c>
      <c r="J6" s="12" t="inlineStr">
        <is>
          <t>in / within / during</t>
        </is>
      </c>
      <c r="K6" s="12" t="inlineStr">
        <is>
          <t>মধ্যে / ভেতরে / বিষয়ে</t>
        </is>
      </c>
      <c r="L6" s="12" t="inlineStr">
        <is>
          <t>میں / اندر</t>
        </is>
      </c>
      <c r="M6" s="12" t="inlineStr">
        <is>
          <t>di / di dalam</t>
        </is>
      </c>
      <c r="N6" s="12" t="inlineStr">
        <is>
          <t>içinde / -de / -da</t>
        </is>
      </c>
      <c r="O6" s="12" t="inlineStr">
        <is>
          <t>dans / en</t>
        </is>
      </c>
      <c r="P6" s="12" t="inlineStr">
        <is>
          <t>1. Spatial Containment (স্থানিক আধার); 2. Temporal Duration (সময়কালীন আধার); 3. Abstract Topic/Subject (বিষয়াধীনতা).</t>
        </is>
      </c>
      <c r="Q6" s="12" t="inlineStr">
        <is>
          <t>Surah 2:2; 30:4; 2:179</t>
        </is>
      </c>
      <c r="R6" s="22" t="inlineStr">
        <is>
          <t>1. ذَٰلِكَ الْكِتَابُ لَا رَيْبَ ۛ 【فِيهِ】 ۛ هُدًى لِّلْمُتَّقِينَ [2:2] | 2. 【فِي】 بِضْعِ سِنِينَ ۗ لِلَّهِ الْأَمْرُ مِن قَبْلُ وَمِن بَعْدُ [30:4] | 3. وَلَكُمْ 【فِي】 الْقِصَاصِ حَيَاةٌ يَا أُولِي الْأَلْبَابِ [2:179]</t>
        </is>
      </c>
      <c r="S6" s="12" t="inlineStr">
        <is>
          <t>1. This is the Book about which there is no doubt [within it], a guidance for those conscious of Allah [2:2]; 2. [Within] three to nine years. To Allah belongs the command before and after [30:4]; 3. And there is for you [in] legal retribution saving of life, O you of understanding [2:179].</t>
        </is>
      </c>
      <c r="T6" s="12" t="inlineStr">
        <is>
          <t>১. এটি সেই কিতাব যাতে কোনো সন্দেহ নেই [এর ভেতরে], পরহেযগারদের জন্য পথপ্রদর্শক [২:২]; ২. তিন থেকে নয় বছরের [মধ্যে]। পূর্বের ও পরের সিদ্ধান্ত আল্লাহরই [৩০:৪]; ৩. আর হে বুদ্ধিমানগণ! কিসাসের [মধ্যে] তোমাদের জন্য জীবন রয়েছে [২:১৭৯]।</t>
        </is>
      </c>
      <c r="U6" s="12" t="inlineStr">
        <is>
          <t>1۔ یہ وہ کتاب ہے جس میں کوئی شک نہیں [اس کے اندر]، پرہیزگاروں کے لیے ہدایت ہے [2:2]؛ 2۔ چند سالوں [کے اندر]۔ پہلے اور بعد کا فیصلہ اللہ ہی کا ہے [30:4]؛ 3۔ اور تمہارے لیے قصاص [میں] زندگی ہے، اے عقل والو [2:179]۔</t>
        </is>
      </c>
      <c r="V6" s="12" t="inlineStr">
        <is>
          <t>1. Kitab ini tidak ada keraguan [di dalamnya], menjadi petunjuk bagi mereka yang bertakwa [2:2]; 2. [Dalam] beberapa tahun lagi. Bagi Allah-lah urusan sebelum dan setelahnya [30:4]; 3. Dan dalam qisas itu ada jaminan kelangsungan hidup bagimu, hai orang-orang yang berakal [2:179].</t>
        </is>
      </c>
      <c r="W6" s="12" t="inlineStr">
        <is>
          <t>1. O kitap ki, [onda] hiç şüphe yoktur; müttakiler için yol göstericiendir [2:2]; 2. Birkaç yıl [içinde]. Eninde sonunda karar Allah'ındır [30:4]; 3. Ey akıl sahipleri! Kısasta sizin için hayat vardır [2:179].</t>
        </is>
      </c>
      <c r="X6" s="12" t="inlineStr">
        <is>
          <t>1. C'est le Livre au sujet duquel il n'y a aucun doute [en lui], un guide pour les pieux [2:2]; 2. [Dans] quelques années (de trois à neuf ans). À Allah appartient le commandement, au début et à la fin [30:4]; 3. C'est [dans] le talion que vous avez la préservation de la vie, ô vous doués d'intelligence [2:179].</t>
        </is>
      </c>
    </row>
    <row r="7" ht="65" customHeight="1">
      <c r="A7" s="16" t="n">
        <v>3</v>
      </c>
      <c r="B7" s="17" t="inlineStr">
        <is>
          <t>إِنَّ</t>
        </is>
      </c>
      <c r="C7" s="18" t="inlineStr">
        <is>
          <t>inna</t>
        </is>
      </c>
      <c r="D7" s="19" t="inlineStr">
        <is>
          <t>—</t>
        </is>
      </c>
      <c r="E7" s="19" t="inlineStr">
        <is>
          <t>Accusative Particle (Ḥarf Naṣb)</t>
        </is>
      </c>
      <c r="F7" s="20" t="n">
        <v>1682</v>
      </c>
      <c r="G7" s="21">
        <f>F7/$F$178</f>
        <v/>
      </c>
      <c r="H7" s="21">
        <f>F7/77429</f>
        <v/>
      </c>
      <c r="I7" s="21">
        <f>I6+G7</f>
        <v/>
      </c>
      <c r="J7" s="19" t="inlineStr">
        <is>
          <t>indeed / surely (emphasis)</t>
        </is>
      </c>
      <c r="K7" s="19" t="inlineStr">
        <is>
          <t>নিশ্চয়ই / অবশ্যই / সত্যই</t>
        </is>
      </c>
      <c r="L7" s="19" t="inlineStr">
        <is>
          <t>بیشک / یقیناً</t>
        </is>
      </c>
      <c r="M7" s="19" t="inlineStr">
        <is>
          <t>sesungguhnya / bahwasanya</t>
        </is>
      </c>
      <c r="N7" s="19" t="inlineStr">
        <is>
          <t>şüphesiz / kuşkusuz</t>
        </is>
      </c>
      <c r="O7" s="19" t="inlineStr">
        <is>
          <t>certes / vraiment</t>
        </is>
      </c>
      <c r="P7" s="19" t="inlineStr">
        <is>
          <t>1. Emphatic Assertion (নিশ্চয়তা জ্ঞাপন); 2. Restrictive/Exclusive Emphasis (ইন্নামা - সীমাবদ্ধতা).</t>
        </is>
      </c>
      <c r="Q7" s="19" t="inlineStr">
        <is>
          <t>Surah 2:30; 36:82</t>
        </is>
      </c>
      <c r="R7" s="17" t="inlineStr">
        <is>
          <t>1. قَالَ 【إِنِّي】 أَعْلَمُ مَا لَا تَعْلَمُونَ [2:30] | 2. 【إِنَّمَا】 أَمْرُهُ إِذَا أَرَادَ شَيْئًا أَن يَقُولَ لَهُ كُن فَيَكُونُ [36:82]</t>
        </is>
      </c>
      <c r="S7" s="19" t="inlineStr">
        <is>
          <t>1. He said, "Indeed, [I/verily I] know that which you do not know" [2:30]; 2. [Indeed/only] His command is when He intends a thing that He says to it, "Be," and it is [36:82].</t>
        </is>
      </c>
      <c r="T7" s="19" t="inlineStr">
        <is>
          <t>১. তিনি বললেন, "নিশ্চয়ই [আমি] তা জানি যা তোমরা জানো না" [২:৩০]; ২. তাঁর আদেশ তো [কেবলই/শুধু] এই যে, তিনি যখন কোনো কিছুর ইচ্ছা করেন, বলেন, "হও," আর তা হয়ে যায় [৩৬:৮২]।</t>
        </is>
      </c>
      <c r="U7" s="19" t="inlineStr">
        <is>
          <t>1۔ اللہ نے فرمایا: "بیشک [میں] وہ جانتا ہوں جو تم نہیں جانتے" [2:30]؛ 2۔ اس کا حکم تو [بس/صرف] یہ ہے کہ جب وہ کسی چیز کا ارادہ کرتا ہے تو اس سے فرماتا ہے، "ہو جا،" اور وہ ہو جاتی ہے [36:82]۔</t>
        </is>
      </c>
      <c r="V7" s="19" t="inlineStr">
        <is>
          <t>1. Allah berfirman: "Sungguh, [Aku/sesungguhnya Aku] mengetahui apa yang tidak kamu ketahui" [2:30]; 2. Sesungguhnya urusan-Nya [hanyalah] apabila Dia menghendaki sesuatu Dia berkata kepadanya, "Jadilah!", maka jadilah ia [36:82].</t>
        </is>
      </c>
      <c r="W7" s="19" t="inlineStr">
        <is>
          <t>1. Allah: "Şüphesiz [Ben] sizin bilmediklerinizi bilirim" dedi [2:30]; 2. O'nun emri, bir şeyi dilediği zaman ona [sadece] "Ol!" demektir, o da hemen oluverir [36:82].</t>
        </is>
      </c>
      <c r="X7" s="19" t="inlineStr">
        <is>
          <t>1. Il dit: "En vérité, [Je] sais ce que vous ne savez pas" [2:30]; 2. Son commandement [consiste seulement], quand Il veut une chose, à lui dire: "Sois", et elle est [36:82].</t>
        </is>
      </c>
    </row>
    <row r="8" ht="25" customHeight="1">
      <c r="A8" s="9" t="n">
        <v>4</v>
      </c>
      <c r="B8" s="22" t="inlineStr">
        <is>
          <t>عَلَى</t>
        </is>
      </c>
      <c r="C8" s="23" t="inlineStr">
        <is>
          <t>ʿalā</t>
        </is>
      </c>
      <c r="D8" s="12" t="inlineStr">
        <is>
          <t>—</t>
        </is>
      </c>
      <c r="E8" s="12" t="inlineStr">
        <is>
          <t>Preposition (Ḥarf Jar)</t>
        </is>
      </c>
      <c r="F8" s="24" t="n">
        <v>1445</v>
      </c>
      <c r="G8" s="25">
        <f>F8/$F$178</f>
        <v/>
      </c>
      <c r="H8" s="25">
        <f>F8/77429</f>
        <v/>
      </c>
      <c r="I8" s="25">
        <f>I7+G8</f>
        <v/>
      </c>
      <c r="J8" s="12" t="inlineStr">
        <is>
          <t>on / upon / over</t>
        </is>
      </c>
      <c r="K8" s="12" t="inlineStr">
        <is>
          <t>উপরে / ওপরে</t>
        </is>
      </c>
      <c r="L8" s="12" t="inlineStr">
        <is>
          <t>پر / اوپر</t>
        </is>
      </c>
      <c r="M8" s="12" t="inlineStr">
        <is>
          <t>di atas / kepada</t>
        </is>
      </c>
      <c r="N8" s="12" t="inlineStr">
        <is>
          <t>üzerine / üzerinde</t>
        </is>
      </c>
      <c r="O8" s="12" t="inlineStr">
        <is>
          <t>sur / au-dessus de</t>
        </is>
      </c>
      <c r="P8" s="23" t="inlineStr">
        <is>
          <t>Standard Quranic sense.</t>
        </is>
      </c>
      <c r="Q8" s="12" t="inlineStr">
        <is>
          <t>Surah Ref</t>
        </is>
      </c>
      <c r="R8" s="22" t="inlineStr">
        <is>
          <t>【عَلَى】</t>
        </is>
      </c>
      <c r="S8" s="12" t="inlineStr">
        <is>
          <t>Example containing [ʿalā]</t>
        </is>
      </c>
      <c r="T8" s="12" t="inlineStr">
        <is>
          <t>উদাহরণস্বরূপ [উপরে / ওপরে]</t>
        </is>
      </c>
      <c r="U8" s="12" t="inlineStr">
        <is>
          <t>مثال برائے [پر / اوپر]</t>
        </is>
      </c>
      <c r="V8" s="12" t="inlineStr">
        <is>
          <t>Contoh mengandung [ʿalā]</t>
        </is>
      </c>
      <c r="W8" s="12" t="inlineStr">
        <is>
          <t>Örnek [ʿalā]</t>
        </is>
      </c>
      <c r="X8" s="12" t="inlineStr">
        <is>
          <t>Exemple contenant [ʿalā]</t>
        </is>
      </c>
    </row>
    <row r="9" ht="25" customHeight="1">
      <c r="A9" s="16" t="n">
        <v>5</v>
      </c>
      <c r="B9" s="17" t="inlineStr">
        <is>
          <t>الَّذِي</t>
        </is>
      </c>
      <c r="C9" s="18" t="inlineStr">
        <is>
          <t>alladhī</t>
        </is>
      </c>
      <c r="D9" s="19" t="inlineStr">
        <is>
          <t>—</t>
        </is>
      </c>
      <c r="E9" s="19" t="inlineStr">
        <is>
          <t>Relative Pronoun (Masc. Sg.)</t>
        </is>
      </c>
      <c r="F9" s="20" t="n">
        <v>1442</v>
      </c>
      <c r="G9" s="21">
        <f>F9/$F$178</f>
        <v/>
      </c>
      <c r="H9" s="21">
        <f>F9/77429</f>
        <v/>
      </c>
      <c r="I9" s="21">
        <f>I8+G9</f>
        <v/>
      </c>
      <c r="J9" s="19" t="inlineStr">
        <is>
          <t>who / which / that</t>
        </is>
      </c>
      <c r="K9" s="19" t="inlineStr">
        <is>
          <t>যে / যিনি</t>
        </is>
      </c>
      <c r="L9" s="19" t="inlineStr">
        <is>
          <t>جو / جس نے</t>
        </is>
      </c>
      <c r="M9" s="19" t="inlineStr">
        <is>
          <t>yang</t>
        </is>
      </c>
      <c r="N9" s="19" t="inlineStr">
        <is>
          <t>o ki / -an</t>
        </is>
      </c>
      <c r="O9" s="19" t="inlineStr">
        <is>
          <t>qui / que</t>
        </is>
      </c>
      <c r="P9" s="18" t="inlineStr">
        <is>
          <t>Standard Quranic sense.</t>
        </is>
      </c>
      <c r="Q9" s="19" t="inlineStr">
        <is>
          <t>Surah Ref</t>
        </is>
      </c>
      <c r="R9" s="17" t="inlineStr">
        <is>
          <t>【الَّذِي】</t>
        </is>
      </c>
      <c r="S9" s="19" t="inlineStr">
        <is>
          <t>Example containing [alladhī]</t>
        </is>
      </c>
      <c r="T9" s="19" t="inlineStr">
        <is>
          <t>উদাহরণস্বরূপ [যে / যিনি]</t>
        </is>
      </c>
      <c r="U9" s="19" t="inlineStr">
        <is>
          <t>مثال برائے [جو / جس نے]</t>
        </is>
      </c>
      <c r="V9" s="19" t="inlineStr">
        <is>
          <t>Contoh mengandung [alladhī]</t>
        </is>
      </c>
      <c r="W9" s="19" t="inlineStr">
        <is>
          <t>Örnek [alladhī]</t>
        </is>
      </c>
      <c r="X9" s="19" t="inlineStr">
        <is>
          <t>Exemple contenant [alladhī]</t>
        </is>
      </c>
    </row>
    <row r="10" ht="25" customHeight="1">
      <c r="A10" s="9" t="n">
        <v>6</v>
      </c>
      <c r="B10" s="22" t="inlineStr">
        <is>
          <t>لَا</t>
        </is>
      </c>
      <c r="C10" s="23" t="inlineStr">
        <is>
          <t>lā</t>
        </is>
      </c>
      <c r="D10" s="12" t="inlineStr">
        <is>
          <t>—</t>
        </is>
      </c>
      <c r="E10" s="12" t="inlineStr">
        <is>
          <t>Negative / Prohibition Particle</t>
        </is>
      </c>
      <c r="F10" s="24" t="n">
        <v>1364</v>
      </c>
      <c r="G10" s="25">
        <f>F10/$F$178</f>
        <v/>
      </c>
      <c r="H10" s="25">
        <f>F10/77429</f>
        <v/>
      </c>
      <c r="I10" s="25">
        <f>I9+G10</f>
        <v/>
      </c>
      <c r="J10" s="12" t="inlineStr">
        <is>
          <t>no / not / do not</t>
        </is>
      </c>
      <c r="K10" s="12" t="inlineStr">
        <is>
          <t>না / নেই</t>
        </is>
      </c>
      <c r="L10" s="12" t="inlineStr">
        <is>
          <t>نہ / نہیں</t>
        </is>
      </c>
      <c r="M10" s="12" t="inlineStr">
        <is>
          <t>tidak / jangan</t>
        </is>
      </c>
      <c r="N10" s="12" t="inlineStr">
        <is>
          <t>hayır / değil</t>
        </is>
      </c>
      <c r="O10" s="12" t="inlineStr">
        <is>
          <t>non / ne... pas</t>
        </is>
      </c>
      <c r="P10" s="23" t="inlineStr">
        <is>
          <t>Standard Quranic sense.</t>
        </is>
      </c>
      <c r="Q10" s="12" t="inlineStr">
        <is>
          <t>Surah Ref</t>
        </is>
      </c>
      <c r="R10" s="22" t="inlineStr">
        <is>
          <t>【لَا】</t>
        </is>
      </c>
      <c r="S10" s="12" t="inlineStr">
        <is>
          <t>Example containing [lā]</t>
        </is>
      </c>
      <c r="T10" s="12" t="inlineStr">
        <is>
          <t>উদাহরণস্বরূপ [না / নেই]</t>
        </is>
      </c>
      <c r="U10" s="12" t="inlineStr">
        <is>
          <t>مثال برائے [نہ / نہیں]</t>
        </is>
      </c>
      <c r="V10" s="12" t="inlineStr">
        <is>
          <t>Contoh mengandung [lā]</t>
        </is>
      </c>
      <c r="W10" s="12" t="inlineStr">
        <is>
          <t>Örnek [lā]</t>
        </is>
      </c>
      <c r="X10" s="12" t="inlineStr">
        <is>
          <t>Exemple contenant [lā]</t>
        </is>
      </c>
    </row>
    <row r="11" ht="25" customHeight="1">
      <c r="A11" s="16" t="n">
        <v>7</v>
      </c>
      <c r="B11" s="17" t="inlineStr">
        <is>
          <t>مَا</t>
        </is>
      </c>
      <c r="C11" s="18" t="inlineStr">
        <is>
          <t>mā</t>
        </is>
      </c>
      <c r="D11" s="19" t="inlineStr">
        <is>
          <t>—</t>
        </is>
      </c>
      <c r="E11" s="19" t="inlineStr">
        <is>
          <t>Relative Pronoun / Negation</t>
        </is>
      </c>
      <c r="F11" s="20" t="n">
        <v>1266</v>
      </c>
      <c r="G11" s="21">
        <f>F11/$F$178</f>
        <v/>
      </c>
      <c r="H11" s="21">
        <f>F11/77429</f>
        <v/>
      </c>
      <c r="I11" s="21">
        <f>I10+G11</f>
        <v/>
      </c>
      <c r="J11" s="19" t="inlineStr">
        <is>
          <t>what / that which</t>
        </is>
      </c>
      <c r="K11" s="19" t="inlineStr">
        <is>
          <t>যা / যাহা</t>
        </is>
      </c>
      <c r="L11" s="19" t="inlineStr">
        <is>
          <t>جو کچھ / کیا</t>
        </is>
      </c>
      <c r="M11" s="19" t="inlineStr">
        <is>
          <t>apa yang / apa</t>
        </is>
      </c>
      <c r="N11" s="19" t="inlineStr">
        <is>
          <t>ne / o şey ki</t>
        </is>
      </c>
      <c r="O11" s="19" t="inlineStr">
        <is>
          <t>ce qui / quoi</t>
        </is>
      </c>
      <c r="P11" s="18" t="inlineStr">
        <is>
          <t>Standard Quranic sense.</t>
        </is>
      </c>
      <c r="Q11" s="19" t="inlineStr">
        <is>
          <t>Surah Ref</t>
        </is>
      </c>
      <c r="R11" s="17" t="inlineStr">
        <is>
          <t>【مَا】</t>
        </is>
      </c>
      <c r="S11" s="19" t="inlineStr">
        <is>
          <t>Example containing [mā]</t>
        </is>
      </c>
      <c r="T11" s="19" t="inlineStr">
        <is>
          <t>উদাহরণস্বরূপ [যা / যাহা]</t>
        </is>
      </c>
      <c r="U11" s="19" t="inlineStr">
        <is>
          <t>مثال برائے [جو کچھ / کیا]</t>
        </is>
      </c>
      <c r="V11" s="19" t="inlineStr">
        <is>
          <t>Contoh mengandung [mā]</t>
        </is>
      </c>
      <c r="W11" s="19" t="inlineStr">
        <is>
          <t>Örnek [mā]</t>
        </is>
      </c>
      <c r="X11" s="19" t="inlineStr">
        <is>
          <t>Exemple contenant [mā]</t>
        </is>
      </c>
    </row>
    <row r="12" ht="25" customHeight="1">
      <c r="A12" s="9" t="n">
        <v>8</v>
      </c>
      <c r="B12" s="22" t="inlineStr">
        <is>
          <t>إِلَى</t>
        </is>
      </c>
      <c r="C12" s="23" t="inlineStr">
        <is>
          <t>ilā</t>
        </is>
      </c>
      <c r="D12" s="12" t="inlineStr">
        <is>
          <t>—</t>
        </is>
      </c>
      <c r="E12" s="12" t="inlineStr">
        <is>
          <t>Preposition (Ḥarf Jar)</t>
        </is>
      </c>
      <c r="F12" s="24" t="n">
        <v>742</v>
      </c>
      <c r="G12" s="25">
        <f>F12/$F$178</f>
        <v/>
      </c>
      <c r="H12" s="25">
        <f>F12/77429</f>
        <v/>
      </c>
      <c r="I12" s="25">
        <f>I11+G12</f>
        <v/>
      </c>
      <c r="J12" s="12" t="inlineStr">
        <is>
          <t>to / toward / until</t>
        </is>
      </c>
      <c r="K12" s="12" t="inlineStr">
        <is>
          <t>দিকে / প্রতি</t>
        </is>
      </c>
      <c r="L12" s="12" t="inlineStr">
        <is>
          <t>طرف / تک</t>
        </is>
      </c>
      <c r="M12" s="12" t="inlineStr">
        <is>
          <t>ke / kepada</t>
        </is>
      </c>
      <c r="N12" s="12" t="inlineStr">
        <is>
          <t>doğru / -e</t>
        </is>
      </c>
      <c r="O12" s="12" t="inlineStr">
        <is>
          <t>vers / à</t>
        </is>
      </c>
      <c r="P12" s="23" t="inlineStr">
        <is>
          <t>Standard Quranic sense.</t>
        </is>
      </c>
      <c r="Q12" s="12" t="inlineStr">
        <is>
          <t>Surah Ref</t>
        </is>
      </c>
      <c r="R12" s="22" t="inlineStr">
        <is>
          <t>【إِلَى】</t>
        </is>
      </c>
      <c r="S12" s="12" t="inlineStr">
        <is>
          <t>Example containing [ilā]</t>
        </is>
      </c>
      <c r="T12" s="12" t="inlineStr">
        <is>
          <t>উদাহরণস্বরূপ [দিকে / প্রতি]</t>
        </is>
      </c>
      <c r="U12" s="12" t="inlineStr">
        <is>
          <t>مثال برائے [طرف / تک]</t>
        </is>
      </c>
      <c r="V12" s="12" t="inlineStr">
        <is>
          <t>Contoh mengandung [ilā]</t>
        </is>
      </c>
      <c r="W12" s="12" t="inlineStr">
        <is>
          <t>Örnek [ilā]</t>
        </is>
      </c>
      <c r="X12" s="12" t="inlineStr">
        <is>
          <t>Exemple contenant [ilā]</t>
        </is>
      </c>
    </row>
    <row r="13" ht="25" customHeight="1">
      <c r="A13" s="16" t="n">
        <v>9</v>
      </c>
      <c r="B13" s="17" t="inlineStr">
        <is>
          <t>مَن</t>
        </is>
      </c>
      <c r="C13" s="18" t="inlineStr">
        <is>
          <t>man</t>
        </is>
      </c>
      <c r="D13" s="19" t="inlineStr">
        <is>
          <t>—</t>
        </is>
      </c>
      <c r="E13" s="19" t="inlineStr">
        <is>
          <t>Relative Pronoun / Interrogative</t>
        </is>
      </c>
      <c r="F13" s="20" t="n">
        <v>606</v>
      </c>
      <c r="G13" s="21">
        <f>F13/$F$178</f>
        <v/>
      </c>
      <c r="H13" s="21">
        <f>F13/77429</f>
        <v/>
      </c>
      <c r="I13" s="21">
        <f>I12+G13</f>
        <v/>
      </c>
      <c r="J13" s="19" t="inlineStr">
        <is>
          <t>who / whoever</t>
        </is>
      </c>
      <c r="K13" s="19" t="inlineStr">
        <is>
          <t>যে / কে</t>
        </is>
      </c>
      <c r="L13" s="19" t="inlineStr">
        <is>
          <t>جو / کون</t>
        </is>
      </c>
      <c r="M13" s="19" t="inlineStr">
        <is>
          <t>siapa / barangsiapa</t>
        </is>
      </c>
      <c r="N13" s="19" t="inlineStr">
        <is>
          <t>kim / her kim</t>
        </is>
      </c>
      <c r="O13" s="19" t="inlineStr">
        <is>
          <t>qui / quiconque</t>
        </is>
      </c>
      <c r="P13" s="18" t="inlineStr">
        <is>
          <t>Standard Quranic sense.</t>
        </is>
      </c>
      <c r="Q13" s="19" t="inlineStr">
        <is>
          <t>Surah Ref</t>
        </is>
      </c>
      <c r="R13" s="17" t="inlineStr">
        <is>
          <t>【مَن】</t>
        </is>
      </c>
      <c r="S13" s="19" t="inlineStr">
        <is>
          <t>Example containing [man]</t>
        </is>
      </c>
      <c r="T13" s="19" t="inlineStr">
        <is>
          <t>উদাহরণস্বরূপ [যে / কে]</t>
        </is>
      </c>
      <c r="U13" s="19" t="inlineStr">
        <is>
          <t>مثال برائے [جو / کون]</t>
        </is>
      </c>
      <c r="V13" s="19" t="inlineStr">
        <is>
          <t>Contoh mengandung [man]</t>
        </is>
      </c>
      <c r="W13" s="19" t="inlineStr">
        <is>
          <t>Örnek [man]</t>
        </is>
      </c>
      <c r="X13" s="19" t="inlineStr">
        <is>
          <t>Exemple contenant [man]</t>
        </is>
      </c>
    </row>
    <row r="14" ht="25" customHeight="1">
      <c r="A14" s="9" t="n">
        <v>10</v>
      </c>
      <c r="B14" s="22" t="inlineStr">
        <is>
          <t>إِن</t>
        </is>
      </c>
      <c r="C14" s="23" t="inlineStr">
        <is>
          <t>in</t>
        </is>
      </c>
      <c r="D14" s="12" t="inlineStr">
        <is>
          <t>—</t>
        </is>
      </c>
      <c r="E14" s="12" t="inlineStr">
        <is>
          <t>Conditional Particle (Ḥarf Sharṭ)</t>
        </is>
      </c>
      <c r="F14" s="24" t="n">
        <v>578</v>
      </c>
      <c r="G14" s="25">
        <f>F14/$F$178</f>
        <v/>
      </c>
      <c r="H14" s="25">
        <f>F14/77429</f>
        <v/>
      </c>
      <c r="I14" s="25">
        <f>I13+G14</f>
        <v/>
      </c>
      <c r="J14" s="12" t="inlineStr">
        <is>
          <t>if / in case</t>
        </is>
      </c>
      <c r="K14" s="12" t="inlineStr">
        <is>
          <t>যদি (শর্তসূচক)</t>
        </is>
      </c>
      <c r="L14" s="12" t="inlineStr">
        <is>
          <t>اگر</t>
        </is>
      </c>
      <c r="M14" s="12" t="inlineStr">
        <is>
          <t>jika / jikalau</t>
        </is>
      </c>
      <c r="N14" s="12" t="inlineStr">
        <is>
          <t>eğer / şayet</t>
        </is>
      </c>
      <c r="O14" s="12" t="inlineStr">
        <is>
          <t>si (condition)</t>
        </is>
      </c>
      <c r="P14" s="23" t="inlineStr">
        <is>
          <t>Standard Quranic sense.</t>
        </is>
      </c>
      <c r="Q14" s="12" t="inlineStr">
        <is>
          <t>Surah Ref</t>
        </is>
      </c>
      <c r="R14" s="22" t="inlineStr">
        <is>
          <t>【إِن】</t>
        </is>
      </c>
      <c r="S14" s="12" t="inlineStr">
        <is>
          <t>Example containing [in]</t>
        </is>
      </c>
      <c r="T14" s="12" t="inlineStr">
        <is>
          <t>উদাহরণস্বরূপ [যদি (শর্তসূচক)]</t>
        </is>
      </c>
      <c r="U14" s="12" t="inlineStr">
        <is>
          <t>مثال برائے [اگر]</t>
        </is>
      </c>
      <c r="V14" s="12" t="inlineStr">
        <is>
          <t>Contoh mengandung [in]</t>
        </is>
      </c>
      <c r="W14" s="12" t="inlineStr">
        <is>
          <t>Örnek [in]</t>
        </is>
      </c>
      <c r="X14" s="12" t="inlineStr">
        <is>
          <t>Exemple contenant [in]</t>
        </is>
      </c>
    </row>
    <row r="15" ht="25" customHeight="1">
      <c r="A15" s="16" t="n">
        <v>11</v>
      </c>
      <c r="B15" s="17" t="inlineStr">
        <is>
          <t>أَنْ</t>
        </is>
      </c>
      <c r="C15" s="18" t="inlineStr">
        <is>
          <t>an</t>
        </is>
      </c>
      <c r="D15" s="19" t="inlineStr">
        <is>
          <t>—</t>
        </is>
      </c>
      <c r="E15" s="19" t="inlineStr">
        <is>
          <t>Subordinating Conjunction</t>
        </is>
      </c>
      <c r="F15" s="20" t="n">
        <v>578</v>
      </c>
      <c r="G15" s="21">
        <f>F15/$F$178</f>
        <v/>
      </c>
      <c r="H15" s="21">
        <f>F15/77429</f>
        <v/>
      </c>
      <c r="I15" s="21">
        <f>I14+G15</f>
        <v/>
      </c>
      <c r="J15" s="19" t="inlineStr">
        <is>
          <t>that / to</t>
        </is>
      </c>
      <c r="K15" s="19" t="inlineStr">
        <is>
          <t>যে / যাতে</t>
        </is>
      </c>
      <c r="L15" s="19" t="inlineStr">
        <is>
          <t>کہ / تاکہ</t>
        </is>
      </c>
      <c r="M15" s="19" t="inlineStr">
        <is>
          <t>bahwa / untuk</t>
        </is>
      </c>
      <c r="N15" s="19" t="inlineStr">
        <is>
          <t>ki / -mek için</t>
        </is>
      </c>
      <c r="O15" s="19" t="inlineStr">
        <is>
          <t>que / de</t>
        </is>
      </c>
      <c r="P15" s="18" t="inlineStr">
        <is>
          <t>Standard Quranic sense.</t>
        </is>
      </c>
      <c r="Q15" s="19" t="inlineStr">
        <is>
          <t>Surah Ref</t>
        </is>
      </c>
      <c r="R15" s="17" t="inlineStr">
        <is>
          <t>【أَنْ】</t>
        </is>
      </c>
      <c r="S15" s="19" t="inlineStr">
        <is>
          <t>Example containing [an]</t>
        </is>
      </c>
      <c r="T15" s="19" t="inlineStr">
        <is>
          <t>উদাহরণস্বরূপ [যে / যাতে]</t>
        </is>
      </c>
      <c r="U15" s="19" t="inlineStr">
        <is>
          <t>مثال برائے [کہ / تاکہ]</t>
        </is>
      </c>
      <c r="V15" s="19" t="inlineStr">
        <is>
          <t>Contoh mengandung [an]</t>
        </is>
      </c>
      <c r="W15" s="19" t="inlineStr">
        <is>
          <t>Örnek [an]</t>
        </is>
      </c>
      <c r="X15" s="19" t="inlineStr">
        <is>
          <t>Exemple contenant [an]</t>
        </is>
      </c>
    </row>
    <row r="16" ht="25" customHeight="1">
      <c r="A16" s="9" t="n">
        <v>12</v>
      </c>
      <c r="B16" s="22" t="inlineStr">
        <is>
          <t>إِلَّا</t>
        </is>
      </c>
      <c r="C16" s="23" t="inlineStr">
        <is>
          <t>illā</t>
        </is>
      </c>
      <c r="D16" s="12" t="inlineStr">
        <is>
          <t>—</t>
        </is>
      </c>
      <c r="E16" s="12" t="inlineStr">
        <is>
          <t>Exceptive Particle (Ḥarf Istithnāʾ)</t>
        </is>
      </c>
      <c r="F16" s="24" t="n">
        <v>558</v>
      </c>
      <c r="G16" s="25">
        <f>F16/$F$178</f>
        <v/>
      </c>
      <c r="H16" s="25">
        <f>F16/77429</f>
        <v/>
      </c>
      <c r="I16" s="25">
        <f>I15+G16</f>
        <v/>
      </c>
      <c r="J16" s="12" t="inlineStr">
        <is>
          <t>except / unless</t>
        </is>
      </c>
      <c r="K16" s="12" t="inlineStr">
        <is>
          <t>ব্যতীত / ছাড়া</t>
        </is>
      </c>
      <c r="L16" s="12" t="inlineStr">
        <is>
          <t>سوا / سوائے</t>
        </is>
      </c>
      <c r="M16" s="12" t="inlineStr">
        <is>
          <t>kecuali / selain</t>
        </is>
      </c>
      <c r="N16" s="12" t="inlineStr">
        <is>
          <t>hariç / ancak</t>
        </is>
      </c>
      <c r="O16" s="12" t="inlineStr">
        <is>
          <t>sauf / excepté</t>
        </is>
      </c>
      <c r="P16" s="23" t="inlineStr">
        <is>
          <t>Standard Quranic sense.</t>
        </is>
      </c>
      <c r="Q16" s="12" t="inlineStr">
        <is>
          <t>Surah Ref</t>
        </is>
      </c>
      <c r="R16" s="22" t="inlineStr">
        <is>
          <t>【إِلَّا】</t>
        </is>
      </c>
      <c r="S16" s="12" t="inlineStr">
        <is>
          <t>Example containing [illā]</t>
        </is>
      </c>
      <c r="T16" s="12" t="inlineStr">
        <is>
          <t>উদাহরণস্বরূপ [ব্যতীত / ছাড়া]</t>
        </is>
      </c>
      <c r="U16" s="12" t="inlineStr">
        <is>
          <t>مثال برائے [سوا / سوائے]</t>
        </is>
      </c>
      <c r="V16" s="12" t="inlineStr">
        <is>
          <t>Contoh mengandung [illā]</t>
        </is>
      </c>
      <c r="W16" s="12" t="inlineStr">
        <is>
          <t>Örnek [illā]</t>
        </is>
      </c>
      <c r="X16" s="12" t="inlineStr">
        <is>
          <t>Exemple contenant [illā]</t>
        </is>
      </c>
    </row>
    <row r="17" ht="25" customHeight="1">
      <c r="A17" s="16" t="n">
        <v>13</v>
      </c>
      <c r="B17" s="17" t="inlineStr">
        <is>
          <t>ذَٰلِك</t>
        </is>
      </c>
      <c r="C17" s="18" t="inlineStr">
        <is>
          <t>dhālik</t>
        </is>
      </c>
      <c r="D17" s="19" t="inlineStr">
        <is>
          <t>—</t>
        </is>
      </c>
      <c r="E17" s="19" t="inlineStr">
        <is>
          <t>Demonstrative Pronoun (Masc. Sg.)</t>
        </is>
      </c>
      <c r="F17" s="20" t="n">
        <v>520</v>
      </c>
      <c r="G17" s="21">
        <f>F17/$F$178</f>
        <v/>
      </c>
      <c r="H17" s="21">
        <f>F17/77429</f>
        <v/>
      </c>
      <c r="I17" s="21">
        <f>I16+G17</f>
        <v/>
      </c>
      <c r="J17" s="19" t="inlineStr">
        <is>
          <t>that</t>
        </is>
      </c>
      <c r="K17" s="19" t="inlineStr">
        <is>
          <t>ঐটি / সেই</t>
        </is>
      </c>
      <c r="L17" s="19" t="inlineStr">
        <is>
          <t>وہ / اس</t>
        </is>
      </c>
      <c r="M17" s="19" t="inlineStr">
        <is>
          <t>itu (maskulin)</t>
        </is>
      </c>
      <c r="N17" s="19" t="inlineStr">
        <is>
          <t>şu / o</t>
        </is>
      </c>
      <c r="O17" s="19" t="inlineStr">
        <is>
          <t>cela / ce</t>
        </is>
      </c>
      <c r="P17" s="18" t="inlineStr">
        <is>
          <t>Standard Quranic sense.</t>
        </is>
      </c>
      <c r="Q17" s="19" t="inlineStr">
        <is>
          <t>Surah Ref</t>
        </is>
      </c>
      <c r="R17" s="17" t="inlineStr">
        <is>
          <t>【ذَٰلِك】</t>
        </is>
      </c>
      <c r="S17" s="19" t="inlineStr">
        <is>
          <t>Example containing [dhālik]</t>
        </is>
      </c>
      <c r="T17" s="19" t="inlineStr">
        <is>
          <t>উদাহরণস্বরূপ [ঐটি / সেই]</t>
        </is>
      </c>
      <c r="U17" s="19" t="inlineStr">
        <is>
          <t>مثال برائے [وہ / اس]</t>
        </is>
      </c>
      <c r="V17" s="19" t="inlineStr">
        <is>
          <t>Contoh mengandung [dhālik]</t>
        </is>
      </c>
      <c r="W17" s="19" t="inlineStr">
        <is>
          <t>Örnek [dhālik]</t>
        </is>
      </c>
      <c r="X17" s="19" t="inlineStr">
        <is>
          <t>Exemple contenant [dhālik]</t>
        </is>
      </c>
    </row>
    <row r="18" ht="25" customHeight="1">
      <c r="A18" s="9" t="n">
        <v>14</v>
      </c>
      <c r="B18" s="22" t="inlineStr">
        <is>
          <t>عَنْ</t>
        </is>
      </c>
      <c r="C18" s="23" t="inlineStr">
        <is>
          <t>ʿan</t>
        </is>
      </c>
      <c r="D18" s="12" t="inlineStr">
        <is>
          <t>—</t>
        </is>
      </c>
      <c r="E18" s="12" t="inlineStr">
        <is>
          <t>Preposition (Ḥarf Jar)</t>
        </is>
      </c>
      <c r="F18" s="24" t="n">
        <v>465</v>
      </c>
      <c r="G18" s="25">
        <f>F18/$F$178</f>
        <v/>
      </c>
      <c r="H18" s="25">
        <f>F18/77429</f>
        <v/>
      </c>
      <c r="I18" s="25">
        <f>I17+G18</f>
        <v/>
      </c>
      <c r="J18" s="12" t="inlineStr">
        <is>
          <t>from / about / away from</t>
        </is>
      </c>
      <c r="K18" s="12" t="inlineStr">
        <is>
          <t>থেকে / সম্বন্ধে</t>
        </is>
      </c>
      <c r="L18" s="12" t="inlineStr">
        <is>
          <t>سے / بارے میں</t>
        </is>
      </c>
      <c r="M18" s="12" t="inlineStr">
        <is>
          <t>dari / tentang</t>
        </is>
      </c>
      <c r="N18" s="12" t="inlineStr">
        <is>
          <t>-den / hakkında</t>
        </is>
      </c>
      <c r="O18" s="12" t="inlineStr">
        <is>
          <t>de / au sujet de</t>
        </is>
      </c>
      <c r="P18" s="23" t="inlineStr">
        <is>
          <t>Standard Quranic sense.</t>
        </is>
      </c>
      <c r="Q18" s="12" t="inlineStr">
        <is>
          <t>Surah Ref</t>
        </is>
      </c>
      <c r="R18" s="22" t="inlineStr">
        <is>
          <t>【عَنْ】</t>
        </is>
      </c>
      <c r="S18" s="12" t="inlineStr">
        <is>
          <t>Example containing [ʿan]</t>
        </is>
      </c>
      <c r="T18" s="12" t="inlineStr">
        <is>
          <t>উদাহরণস্বরূপ [থেকে / সম্বন্ধে]</t>
        </is>
      </c>
      <c r="U18" s="12" t="inlineStr">
        <is>
          <t>مثال برائے [سے / بارے میں]</t>
        </is>
      </c>
      <c r="V18" s="12" t="inlineStr">
        <is>
          <t>Contoh mengandung [ʿan]</t>
        </is>
      </c>
      <c r="W18" s="12" t="inlineStr">
        <is>
          <t>Örnek [ʿan]</t>
        </is>
      </c>
      <c r="X18" s="12" t="inlineStr">
        <is>
          <t>Exemple contenant [ʿan]</t>
        </is>
      </c>
    </row>
    <row r="19" ht="25" customHeight="1">
      <c r="A19" s="16" t="n">
        <v>15</v>
      </c>
      <c r="B19" s="17" t="inlineStr">
        <is>
          <t>قَد</t>
        </is>
      </c>
      <c r="C19" s="18" t="inlineStr">
        <is>
          <t>qad</t>
        </is>
      </c>
      <c r="D19" s="19" t="inlineStr">
        <is>
          <t>—</t>
        </is>
      </c>
      <c r="E19" s="19" t="inlineStr">
        <is>
          <t>Particle of Certainty (Ḥarf Taḥqīq)</t>
        </is>
      </c>
      <c r="F19" s="20" t="n">
        <v>406</v>
      </c>
      <c r="G19" s="21">
        <f>F19/$F$178</f>
        <v/>
      </c>
      <c r="H19" s="21">
        <f>F19/77429</f>
        <v/>
      </c>
      <c r="I19" s="21">
        <f>I18+G19</f>
        <v/>
      </c>
      <c r="J19" s="19" t="inlineStr">
        <is>
          <t>already / indeed / surely</t>
        </is>
      </c>
      <c r="K19" s="19" t="inlineStr">
        <is>
          <t>ইতিমধ্যেই / অবশ্যই</t>
        </is>
      </c>
      <c r="L19" s="19" t="inlineStr">
        <is>
          <t>تحقیق / بیشک</t>
        </is>
      </c>
      <c r="M19" s="19" t="inlineStr">
        <is>
          <t>sungguh / sudah</t>
        </is>
      </c>
      <c r="N19" s="19" t="inlineStr">
        <is>
          <t>şüphesiz / gerçekten</t>
        </is>
      </c>
      <c r="O19" s="19" t="inlineStr">
        <is>
          <t>déjà / certes</t>
        </is>
      </c>
      <c r="P19" s="18" t="inlineStr">
        <is>
          <t>Standard Quranic sense.</t>
        </is>
      </c>
      <c r="Q19" s="19" t="inlineStr">
        <is>
          <t>Surah Ref</t>
        </is>
      </c>
      <c r="R19" s="17" t="inlineStr">
        <is>
          <t>【قَد】</t>
        </is>
      </c>
      <c r="S19" s="19" t="inlineStr">
        <is>
          <t>Example containing [qad]</t>
        </is>
      </c>
      <c r="T19" s="19" t="inlineStr">
        <is>
          <t>উদাহরণস্বরূপ [ইতিমধ্যেই / অবশ্যই]</t>
        </is>
      </c>
      <c r="U19" s="19" t="inlineStr">
        <is>
          <t>مثال برائے [تحقیق / بیشک]</t>
        </is>
      </c>
      <c r="V19" s="19" t="inlineStr">
        <is>
          <t>Contoh mengandung [qad]</t>
        </is>
      </c>
      <c r="W19" s="19" t="inlineStr">
        <is>
          <t>Örnek [qad]</t>
        </is>
      </c>
      <c r="X19" s="19" t="inlineStr">
        <is>
          <t>Exemple contenant [qad]</t>
        </is>
      </c>
    </row>
    <row r="20" ht="25" customHeight="1">
      <c r="A20" s="9" t="n">
        <v>16</v>
      </c>
      <c r="B20" s="22" t="inlineStr">
        <is>
          <t>أَنَّ</t>
        </is>
      </c>
      <c r="C20" s="23" t="inlineStr">
        <is>
          <t>anna</t>
        </is>
      </c>
      <c r="D20" s="12" t="inlineStr">
        <is>
          <t>—</t>
        </is>
      </c>
      <c r="E20" s="12" t="inlineStr">
        <is>
          <t>Accusative Particle (Ḥarf Naṣb)</t>
        </is>
      </c>
      <c r="F20" s="24" t="n">
        <v>362</v>
      </c>
      <c r="G20" s="25">
        <f>F20/$F$178</f>
        <v/>
      </c>
      <c r="H20" s="25">
        <f>F20/77429</f>
        <v/>
      </c>
      <c r="I20" s="25">
        <f>I19+G20</f>
        <v/>
      </c>
      <c r="J20" s="12" t="inlineStr">
        <is>
          <t>that / indeed that</t>
        </is>
      </c>
      <c r="K20" s="12" t="inlineStr">
        <is>
          <t>যে / নিশ্চয়ই যে</t>
        </is>
      </c>
      <c r="L20" s="12" t="inlineStr">
        <is>
          <t>کہ / بیشک کہ</t>
        </is>
      </c>
      <c r="M20" s="12" t="inlineStr">
        <is>
          <t>bahwa / sesungguhnya bahwa</t>
        </is>
      </c>
      <c r="N20" s="12" t="inlineStr">
        <is>
          <t>ki / şüphesiz ki</t>
        </is>
      </c>
      <c r="O20" s="12" t="inlineStr">
        <is>
          <t>que / certes que</t>
        </is>
      </c>
      <c r="P20" s="23" t="inlineStr">
        <is>
          <t>Standard Quranic sense.</t>
        </is>
      </c>
      <c r="Q20" s="12" t="inlineStr">
        <is>
          <t>Surah Ref</t>
        </is>
      </c>
      <c r="R20" s="22" t="inlineStr">
        <is>
          <t>【أَنَّ】</t>
        </is>
      </c>
      <c r="S20" s="12" t="inlineStr">
        <is>
          <t>Example containing [anna]</t>
        </is>
      </c>
      <c r="T20" s="12" t="inlineStr">
        <is>
          <t>উদাহরণস্বরূপ [যে / নিশ্চয়ই যে]</t>
        </is>
      </c>
      <c r="U20" s="12" t="inlineStr">
        <is>
          <t>مثال برائے [کہ / بیشک کہ]</t>
        </is>
      </c>
      <c r="V20" s="12" t="inlineStr">
        <is>
          <t>Contoh mengandung [anna]</t>
        </is>
      </c>
      <c r="W20" s="12" t="inlineStr">
        <is>
          <t>Örnek [anna]</t>
        </is>
      </c>
      <c r="X20" s="12" t="inlineStr">
        <is>
          <t>Exemple contenant [anna]</t>
        </is>
      </c>
    </row>
    <row r="21" ht="25" customHeight="1">
      <c r="A21" s="16" t="n">
        <v>17</v>
      </c>
      <c r="B21" s="17" t="inlineStr">
        <is>
          <t>لَم</t>
        </is>
      </c>
      <c r="C21" s="18" t="inlineStr">
        <is>
          <t>lam</t>
        </is>
      </c>
      <c r="D21" s="19" t="inlineStr">
        <is>
          <t>—</t>
        </is>
      </c>
      <c r="E21" s="19" t="inlineStr">
        <is>
          <t>Negative Particle (Jussive)</t>
        </is>
      </c>
      <c r="F21" s="20" t="n">
        <v>353</v>
      </c>
      <c r="G21" s="21">
        <f>F21/$F$178</f>
        <v/>
      </c>
      <c r="H21" s="21">
        <f>F21/77429</f>
        <v/>
      </c>
      <c r="I21" s="21">
        <f>I20+G21</f>
        <v/>
      </c>
      <c r="J21" s="19" t="inlineStr">
        <is>
          <t>did not / not</t>
        </is>
      </c>
      <c r="K21" s="19" t="inlineStr">
        <is>
          <t>না / অতীতে ঘটেনি</t>
        </is>
      </c>
      <c r="L21" s="19" t="inlineStr">
        <is>
          <t>نہیں / نہیں کیا</t>
        </is>
      </c>
      <c r="M21" s="19" t="inlineStr">
        <is>
          <t>tidak / belum</t>
        </is>
      </c>
      <c r="N21" s="19" t="inlineStr">
        <is>
          <t>yapmadı / -medi</t>
        </is>
      </c>
      <c r="O21" s="19" t="inlineStr">
        <is>
          <t>ne... pas / non</t>
        </is>
      </c>
      <c r="P21" s="18" t="inlineStr">
        <is>
          <t>Standard Quranic sense.</t>
        </is>
      </c>
      <c r="Q21" s="19" t="inlineStr">
        <is>
          <t>Surah Ref</t>
        </is>
      </c>
      <c r="R21" s="17" t="inlineStr">
        <is>
          <t>【لَم】</t>
        </is>
      </c>
      <c r="S21" s="19" t="inlineStr">
        <is>
          <t>Example containing [lam]</t>
        </is>
      </c>
      <c r="T21" s="19" t="inlineStr">
        <is>
          <t>উদাহরণস্বরূপ [না / অতীতে ঘটেনি]</t>
        </is>
      </c>
      <c r="U21" s="19" t="inlineStr">
        <is>
          <t>مثال برائے [نہیں / نہیں کیا]</t>
        </is>
      </c>
      <c r="V21" s="19" t="inlineStr">
        <is>
          <t>Contoh mengandung [lam]</t>
        </is>
      </c>
      <c r="W21" s="19" t="inlineStr">
        <is>
          <t>Örnek [lam]</t>
        </is>
      </c>
      <c r="X21" s="19" t="inlineStr">
        <is>
          <t>Exemple contenant [lam]</t>
        </is>
      </c>
    </row>
    <row r="22" ht="25" customHeight="1">
      <c r="A22" s="9" t="n">
        <v>18</v>
      </c>
      <c r="B22" s="22" t="inlineStr">
        <is>
          <t>ثُمَّ</t>
        </is>
      </c>
      <c r="C22" s="23" t="inlineStr">
        <is>
          <t>thumma</t>
        </is>
      </c>
      <c r="D22" s="12" t="inlineStr">
        <is>
          <t>—</t>
        </is>
      </c>
      <c r="E22" s="12" t="inlineStr">
        <is>
          <t>Coordinating Conjunction</t>
        </is>
      </c>
      <c r="F22" s="24" t="n">
        <v>338</v>
      </c>
      <c r="G22" s="25">
        <f>F22/$F$178</f>
        <v/>
      </c>
      <c r="H22" s="25">
        <f>F22/77429</f>
        <v/>
      </c>
      <c r="I22" s="25">
        <f>I21+G22</f>
        <v/>
      </c>
      <c r="J22" s="12" t="inlineStr">
        <is>
          <t>then / thereafter</t>
        </is>
      </c>
      <c r="K22" s="12" t="inlineStr">
        <is>
          <t>তারপর / অতঃপর</t>
        </is>
      </c>
      <c r="L22" s="12" t="inlineStr">
        <is>
          <t>پھر / اس کے بعد</t>
        </is>
      </c>
      <c r="M22" s="12" t="inlineStr">
        <is>
          <t>kemudian / setelah itu</t>
        </is>
      </c>
      <c r="N22" s="12" t="inlineStr">
        <is>
          <t>sonra / ardından</t>
        </is>
      </c>
      <c r="O22" s="12" t="inlineStr">
        <is>
          <t>puis / ensuite</t>
        </is>
      </c>
      <c r="P22" s="23" t="inlineStr">
        <is>
          <t>Standard Quranic sense.</t>
        </is>
      </c>
      <c r="Q22" s="12" t="inlineStr">
        <is>
          <t>Surah Ref</t>
        </is>
      </c>
      <c r="R22" s="22" t="inlineStr">
        <is>
          <t>【ثُمَّ】</t>
        </is>
      </c>
      <c r="S22" s="12" t="inlineStr">
        <is>
          <t>Example containing [thumma]</t>
        </is>
      </c>
      <c r="T22" s="12" t="inlineStr">
        <is>
          <t>উদাহরণস্বরূপ [তারপর / অতঃপর]</t>
        </is>
      </c>
      <c r="U22" s="12" t="inlineStr">
        <is>
          <t>مثال برائے [پھر / اس کے بعد]</t>
        </is>
      </c>
      <c r="V22" s="12" t="inlineStr">
        <is>
          <t>Contoh mengandung [thumma]</t>
        </is>
      </c>
      <c r="W22" s="12" t="inlineStr">
        <is>
          <t>Örnek [thumma]</t>
        </is>
      </c>
      <c r="X22" s="12" t="inlineStr">
        <is>
          <t>Exemple contenant [thumma]</t>
        </is>
      </c>
    </row>
    <row r="23" ht="25" customHeight="1">
      <c r="A23" s="16" t="n">
        <v>19</v>
      </c>
      <c r="B23" s="17" t="inlineStr">
        <is>
          <t>هَٰذَا</t>
        </is>
      </c>
      <c r="C23" s="18" t="inlineStr">
        <is>
          <t>hādhā</t>
        </is>
      </c>
      <c r="D23" s="19" t="inlineStr">
        <is>
          <t>—</t>
        </is>
      </c>
      <c r="E23" s="19" t="inlineStr">
        <is>
          <t>Demonstrative Pronoun (Masc. Sg.)</t>
        </is>
      </c>
      <c r="F23" s="20" t="n">
        <v>317</v>
      </c>
      <c r="G23" s="21">
        <f>F23/$F$178</f>
        <v/>
      </c>
      <c r="H23" s="21">
        <f>F23/77429</f>
        <v/>
      </c>
      <c r="I23" s="21">
        <f>I22+G23</f>
        <v/>
      </c>
      <c r="J23" s="19" t="inlineStr">
        <is>
          <t>this</t>
        </is>
      </c>
      <c r="K23" s="19" t="inlineStr">
        <is>
          <t>এইটি / ইহা</t>
        </is>
      </c>
      <c r="L23" s="19" t="inlineStr">
        <is>
          <t>یہ / اس</t>
        </is>
      </c>
      <c r="M23" s="19" t="inlineStr">
        <is>
          <t>ini (maskulin)</t>
        </is>
      </c>
      <c r="N23" s="19" t="inlineStr">
        <is>
          <t>bu / şu</t>
        </is>
      </c>
      <c r="O23" s="19" t="inlineStr">
        <is>
          <t>ceci / ce</t>
        </is>
      </c>
      <c r="P23" s="18" t="inlineStr">
        <is>
          <t>Standard Quranic sense.</t>
        </is>
      </c>
      <c r="Q23" s="19" t="inlineStr">
        <is>
          <t>Surah Ref</t>
        </is>
      </c>
      <c r="R23" s="17" t="inlineStr">
        <is>
          <t>【هَٰذَا】</t>
        </is>
      </c>
      <c r="S23" s="19" t="inlineStr">
        <is>
          <t>Example containing [hādhā]</t>
        </is>
      </c>
      <c r="T23" s="19" t="inlineStr">
        <is>
          <t>উদাহরণস্বরূপ [এইটি / ইহা]</t>
        </is>
      </c>
      <c r="U23" s="19" t="inlineStr">
        <is>
          <t>مثال برائے [یہ / اس]</t>
        </is>
      </c>
      <c r="V23" s="19" t="inlineStr">
        <is>
          <t>Contoh mengandung [hādhā]</t>
        </is>
      </c>
      <c r="W23" s="19" t="inlineStr">
        <is>
          <t>Örnek [hādhā]</t>
        </is>
      </c>
      <c r="X23" s="19" t="inlineStr">
        <is>
          <t>Exemple contenant [hādhā]</t>
        </is>
      </c>
    </row>
    <row r="24" ht="25" customHeight="1">
      <c r="A24" s="9" t="n">
        <v>20</v>
      </c>
      <c r="B24" s="22" t="inlineStr">
        <is>
          <t>أَوْ</t>
        </is>
      </c>
      <c r="C24" s="23" t="inlineStr">
        <is>
          <t>aw</t>
        </is>
      </c>
      <c r="D24" s="12" t="inlineStr">
        <is>
          <t>—</t>
        </is>
      </c>
      <c r="E24" s="12" t="inlineStr">
        <is>
          <t>Coordinating Conjunction</t>
        </is>
      </c>
      <c r="F24" s="24" t="n">
        <v>280</v>
      </c>
      <c r="G24" s="25">
        <f>F24/$F$178</f>
        <v/>
      </c>
      <c r="H24" s="25">
        <f>F24/77429</f>
        <v/>
      </c>
      <c r="I24" s="25">
        <f>I23+G24</f>
        <v/>
      </c>
      <c r="J24" s="12" t="inlineStr">
        <is>
          <t>or</t>
        </is>
      </c>
      <c r="K24" s="12" t="inlineStr">
        <is>
          <t>অথবা / নাকি</t>
        </is>
      </c>
      <c r="L24" s="12" t="inlineStr">
        <is>
          <t>یا</t>
        </is>
      </c>
      <c r="M24" s="12" t="inlineStr">
        <is>
          <t>atau</t>
        </is>
      </c>
      <c r="N24" s="12" t="inlineStr">
        <is>
          <t>veya / yahut</t>
        </is>
      </c>
      <c r="O24" s="12" t="inlineStr">
        <is>
          <t>ou</t>
        </is>
      </c>
      <c r="P24" s="23" t="inlineStr">
        <is>
          <t>Standard Quranic sense.</t>
        </is>
      </c>
      <c r="Q24" s="12" t="inlineStr">
        <is>
          <t>Surah Ref</t>
        </is>
      </c>
      <c r="R24" s="22" t="inlineStr">
        <is>
          <t>【أَوْ】</t>
        </is>
      </c>
      <c r="S24" s="12" t="inlineStr">
        <is>
          <t>Example containing [aw]</t>
        </is>
      </c>
      <c r="T24" s="12" t="inlineStr">
        <is>
          <t>উদাহরণস্বরূপ [অথবা / নাকি]</t>
        </is>
      </c>
      <c r="U24" s="12" t="inlineStr">
        <is>
          <t>مثال برائے [یا]</t>
        </is>
      </c>
      <c r="V24" s="12" t="inlineStr">
        <is>
          <t>Contoh mengandung [aw]</t>
        </is>
      </c>
      <c r="W24" s="12" t="inlineStr">
        <is>
          <t>Örnek [aw]</t>
        </is>
      </c>
      <c r="X24" s="12" t="inlineStr">
        <is>
          <t>Exemple contenant [aw]</t>
        </is>
      </c>
    </row>
    <row r="25" ht="25" customHeight="1">
      <c r="A25" s="16" t="n">
        <v>21</v>
      </c>
      <c r="B25" s="17" t="inlineStr">
        <is>
          <t>إِذ</t>
        </is>
      </c>
      <c r="C25" s="18" t="inlineStr">
        <is>
          <t>idh</t>
        </is>
      </c>
      <c r="D25" s="19" t="inlineStr">
        <is>
          <t>—</t>
        </is>
      </c>
      <c r="E25" s="19" t="inlineStr">
        <is>
          <t>Time Adverb (Ẓarf Zamān)</t>
        </is>
      </c>
      <c r="F25" s="20" t="n">
        <v>239</v>
      </c>
      <c r="G25" s="21">
        <f>F25/$F$178</f>
        <v/>
      </c>
      <c r="H25" s="21">
        <f>F25/77429</f>
        <v/>
      </c>
      <c r="I25" s="21">
        <f>I24+G25</f>
        <v/>
      </c>
      <c r="J25" s="19" t="inlineStr">
        <is>
          <t>when / as / behold</t>
        </is>
      </c>
      <c r="K25" s="19" t="inlineStr">
        <is>
          <t>যখন / যেহেতু</t>
        </is>
      </c>
      <c r="L25" s="19" t="inlineStr">
        <is>
          <t>جب / اس وقت</t>
        </is>
      </c>
      <c r="M25" s="19" t="inlineStr">
        <is>
          <t>ketika / ketika itu</t>
        </is>
      </c>
      <c r="N25" s="19" t="inlineStr">
        <is>
          <t>hani / o zaman ki</t>
        </is>
      </c>
      <c r="O25" s="19" t="inlineStr">
        <is>
          <t>lorsque / quand</t>
        </is>
      </c>
      <c r="P25" s="18" t="inlineStr">
        <is>
          <t>Standard Quranic sense.</t>
        </is>
      </c>
      <c r="Q25" s="19" t="inlineStr">
        <is>
          <t>Surah Ref</t>
        </is>
      </c>
      <c r="R25" s="17" t="inlineStr">
        <is>
          <t>【إِذ】</t>
        </is>
      </c>
      <c r="S25" s="19" t="inlineStr">
        <is>
          <t>Example containing [idh]</t>
        </is>
      </c>
      <c r="T25" s="19" t="inlineStr">
        <is>
          <t>উদাহরণস্বরূপ [যখন / যেহেতু]</t>
        </is>
      </c>
      <c r="U25" s="19" t="inlineStr">
        <is>
          <t>مثال برائے [جب / اس وقت]</t>
        </is>
      </c>
      <c r="V25" s="19" t="inlineStr">
        <is>
          <t>Contoh mengandung [idh]</t>
        </is>
      </c>
      <c r="W25" s="19" t="inlineStr">
        <is>
          <t>Örnek [idh]</t>
        </is>
      </c>
      <c r="X25" s="19" t="inlineStr">
        <is>
          <t>Exemple contenant [idh]</t>
        </is>
      </c>
    </row>
    <row r="26" ht="25" customHeight="1">
      <c r="A26" s="9" t="n">
        <v>22</v>
      </c>
      <c r="B26" s="22" t="inlineStr">
        <is>
          <t>أُولَٰئِك</t>
        </is>
      </c>
      <c r="C26" s="23" t="inlineStr">
        <is>
          <t>ulāʾika</t>
        </is>
      </c>
      <c r="D26" s="12" t="inlineStr">
        <is>
          <t>—</t>
        </is>
      </c>
      <c r="E26" s="12" t="inlineStr">
        <is>
          <t>Demonstrative Pronoun (Plural)</t>
        </is>
      </c>
      <c r="F26" s="24" t="n">
        <v>204</v>
      </c>
      <c r="G26" s="25">
        <f>F26/$F$178</f>
        <v/>
      </c>
      <c r="H26" s="25">
        <f>F26/77429</f>
        <v/>
      </c>
      <c r="I26" s="25">
        <f>I25+G26</f>
        <v/>
      </c>
      <c r="J26" s="12" t="inlineStr">
        <is>
          <t>those</t>
        </is>
      </c>
      <c r="K26" s="12" t="inlineStr">
        <is>
          <t>তাহারা / উহারা</t>
        </is>
      </c>
      <c r="L26" s="12" t="inlineStr">
        <is>
          <t>وہ سب / وہ لوگ</t>
        </is>
      </c>
      <c r="M26" s="12" t="inlineStr">
        <is>
          <t>mereka itu</t>
        </is>
      </c>
      <c r="N26" s="12" t="inlineStr">
        <is>
          <t>onlar / şunlar</t>
        </is>
      </c>
      <c r="O26" s="12" t="inlineStr">
        <is>
          <t>ceux-là</t>
        </is>
      </c>
      <c r="P26" s="23" t="inlineStr">
        <is>
          <t>Standard Quranic sense.</t>
        </is>
      </c>
      <c r="Q26" s="12" t="inlineStr">
        <is>
          <t>Surah Ref</t>
        </is>
      </c>
      <c r="R26" s="22" t="inlineStr">
        <is>
          <t>【أُولَٰئِك】</t>
        </is>
      </c>
      <c r="S26" s="12" t="inlineStr">
        <is>
          <t>Example containing [ulāʾika]</t>
        </is>
      </c>
      <c r="T26" s="12" t="inlineStr">
        <is>
          <t>উদাহরণস্বরূপ [তাহারা / উহারা]</t>
        </is>
      </c>
      <c r="U26" s="12" t="inlineStr">
        <is>
          <t>مثال برائے [وہ سب / وہ لوگ]</t>
        </is>
      </c>
      <c r="V26" s="12" t="inlineStr">
        <is>
          <t>Contoh mengandung [ulāʾika]</t>
        </is>
      </c>
      <c r="W26" s="12" t="inlineStr">
        <is>
          <t>Örnek [ulāʾika]</t>
        </is>
      </c>
      <c r="X26" s="12" t="inlineStr">
        <is>
          <t>Exemple contenant [ulāʾika]</t>
        </is>
      </c>
    </row>
    <row r="27" ht="25" customHeight="1">
      <c r="A27" s="16" t="n">
        <v>23</v>
      </c>
      <c r="B27" s="17" t="inlineStr">
        <is>
          <t>لَوْ</t>
        </is>
      </c>
      <c r="C27" s="18" t="inlineStr">
        <is>
          <t>law</t>
        </is>
      </c>
      <c r="D27" s="19" t="inlineStr">
        <is>
          <t>—</t>
        </is>
      </c>
      <c r="E27" s="19" t="inlineStr">
        <is>
          <t>Conditional Particle</t>
        </is>
      </c>
      <c r="F27" s="20" t="n">
        <v>184</v>
      </c>
      <c r="G27" s="21">
        <f>F27/$F$178</f>
        <v/>
      </c>
      <c r="H27" s="21">
        <f>F27/77429</f>
        <v/>
      </c>
      <c r="I27" s="21">
        <f>I26+G27</f>
        <v/>
      </c>
      <c r="J27" s="19" t="inlineStr">
        <is>
          <t>if / had it been</t>
        </is>
      </c>
      <c r="K27" s="19" t="inlineStr">
        <is>
          <t>যদি / যদি এমন হতো</t>
        </is>
      </c>
      <c r="L27" s="19" t="inlineStr">
        <is>
          <t>اگر / اگرچہ</t>
        </is>
      </c>
      <c r="M27" s="19" t="inlineStr">
        <is>
          <t>jikalau / sekiranya</t>
        </is>
      </c>
      <c r="N27" s="19" t="inlineStr">
        <is>
          <t>eğer / şayet</t>
        </is>
      </c>
      <c r="O27" s="19" t="inlineStr">
        <is>
          <t>si (hypothétique)</t>
        </is>
      </c>
      <c r="P27" s="18" t="inlineStr">
        <is>
          <t>Standard Quranic sense.</t>
        </is>
      </c>
      <c r="Q27" s="19" t="inlineStr">
        <is>
          <t>Surah Ref</t>
        </is>
      </c>
      <c r="R27" s="17" t="inlineStr">
        <is>
          <t>【لَوْ】</t>
        </is>
      </c>
      <c r="S27" s="19" t="inlineStr">
        <is>
          <t>Example containing [law]</t>
        </is>
      </c>
      <c r="T27" s="19" t="inlineStr">
        <is>
          <t>উদাহরণস্বরূপ [যদি / যদি এমন হতো]</t>
        </is>
      </c>
      <c r="U27" s="19" t="inlineStr">
        <is>
          <t>مثال برائے [اگر / اگرچہ]</t>
        </is>
      </c>
      <c r="V27" s="19" t="inlineStr">
        <is>
          <t>Contoh mengandung [law]</t>
        </is>
      </c>
      <c r="W27" s="19" t="inlineStr">
        <is>
          <t>Örnek [law]</t>
        </is>
      </c>
      <c r="X27" s="19" t="inlineStr">
        <is>
          <t>Exemple contenant [law]</t>
        </is>
      </c>
    </row>
    <row r="28" ht="25" customHeight="1">
      <c r="A28" s="9" t="n">
        <v>24</v>
      </c>
      <c r="B28" s="22" t="inlineStr">
        <is>
          <t>عِنْد</t>
        </is>
      </c>
      <c r="C28" s="23" t="inlineStr">
        <is>
          <t>ʿind</t>
        </is>
      </c>
      <c r="D28" s="12" t="inlineStr">
        <is>
          <t>—</t>
        </is>
      </c>
      <c r="E28" s="12" t="inlineStr">
        <is>
          <t>Location Adverb (Ẓarf Makān)</t>
        </is>
      </c>
      <c r="F28" s="24" t="n">
        <v>160</v>
      </c>
      <c r="G28" s="25">
        <f>F28/$F$178</f>
        <v/>
      </c>
      <c r="H28" s="25">
        <f>F28/77429</f>
        <v/>
      </c>
      <c r="I28" s="25">
        <f>I27+G28</f>
        <v/>
      </c>
      <c r="J28" s="12" t="inlineStr">
        <is>
          <t>at / with / near</t>
        </is>
      </c>
      <c r="K28" s="12" t="inlineStr">
        <is>
          <t>কাছে / নিকট</t>
        </is>
      </c>
      <c r="L28" s="12" t="inlineStr">
        <is>
          <t>پاس / نزدیک</t>
        </is>
      </c>
      <c r="M28" s="12" t="inlineStr">
        <is>
          <t>di sisi / dekat</t>
        </is>
      </c>
      <c r="N28" s="12" t="inlineStr">
        <is>
          <t>katında / yanında</t>
        </is>
      </c>
      <c r="O28" s="12" t="inlineStr">
        <is>
          <t>auprès de / chez</t>
        </is>
      </c>
      <c r="P28" s="23" t="inlineStr">
        <is>
          <t>Standard Quranic sense.</t>
        </is>
      </c>
      <c r="Q28" s="12" t="inlineStr">
        <is>
          <t>Surah Ref</t>
        </is>
      </c>
      <c r="R28" s="22" t="inlineStr">
        <is>
          <t>【عِنْد】</t>
        </is>
      </c>
      <c r="S28" s="12" t="inlineStr">
        <is>
          <t>Example containing [ʿind]</t>
        </is>
      </c>
      <c r="T28" s="12" t="inlineStr">
        <is>
          <t>উদাহরণস্বরূপ [কাছে / নিকট]</t>
        </is>
      </c>
      <c r="U28" s="12" t="inlineStr">
        <is>
          <t>مثال برائے [پاس / نزدیک]</t>
        </is>
      </c>
      <c r="V28" s="12" t="inlineStr">
        <is>
          <t>Contoh mengandung [ʿind]</t>
        </is>
      </c>
      <c r="W28" s="12" t="inlineStr">
        <is>
          <t>Örnek [ʿind]</t>
        </is>
      </c>
      <c r="X28" s="12" t="inlineStr">
        <is>
          <t>Exemple contenant [ʿind]</t>
        </is>
      </c>
    </row>
    <row r="29" ht="25" customHeight="1">
      <c r="A29" s="16" t="n">
        <v>25</v>
      </c>
      <c r="B29" s="17" t="inlineStr">
        <is>
          <t>مَع</t>
        </is>
      </c>
      <c r="C29" s="18" t="inlineStr">
        <is>
          <t>maʿa</t>
        </is>
      </c>
      <c r="D29" s="19" t="inlineStr">
        <is>
          <t>—</t>
        </is>
      </c>
      <c r="E29" s="19" t="inlineStr">
        <is>
          <t>Location Adverb (Ẓarf Makān)</t>
        </is>
      </c>
      <c r="F29" s="20" t="n">
        <v>159</v>
      </c>
      <c r="G29" s="21">
        <f>F29/$F$178</f>
        <v/>
      </c>
      <c r="H29" s="21">
        <f>F29/77429</f>
        <v/>
      </c>
      <c r="I29" s="21">
        <f>I28+G29</f>
        <v/>
      </c>
      <c r="J29" s="19" t="inlineStr">
        <is>
          <t>with / together with</t>
        </is>
      </c>
      <c r="K29" s="19" t="inlineStr">
        <is>
          <t>সাথে / সহিত</t>
        </is>
      </c>
      <c r="L29" s="19" t="inlineStr">
        <is>
          <t>ساتھ / مع</t>
        </is>
      </c>
      <c r="M29" s="19" t="inlineStr">
        <is>
          <t>bersama / beserta</t>
        </is>
      </c>
      <c r="N29" s="19" t="inlineStr">
        <is>
          <t>ile / beraber</t>
        </is>
      </c>
      <c r="O29" s="19" t="inlineStr">
        <is>
          <t>avec / ensemble</t>
        </is>
      </c>
      <c r="P29" s="18" t="inlineStr">
        <is>
          <t>Standard Quranic sense.</t>
        </is>
      </c>
      <c r="Q29" s="19" t="inlineStr">
        <is>
          <t>Surah Ref</t>
        </is>
      </c>
      <c r="R29" s="17" t="inlineStr">
        <is>
          <t>【مَع】</t>
        </is>
      </c>
      <c r="S29" s="19" t="inlineStr">
        <is>
          <t>Example containing [maʿa]</t>
        </is>
      </c>
      <c r="T29" s="19" t="inlineStr">
        <is>
          <t>উদাহরণস্বরূপ [সাথে / সহিত]</t>
        </is>
      </c>
      <c r="U29" s="19" t="inlineStr">
        <is>
          <t>مثال برائے [ساتھ / مع]</t>
        </is>
      </c>
      <c r="V29" s="19" t="inlineStr">
        <is>
          <t>Contoh mengandung [maʿa]</t>
        </is>
      </c>
      <c r="W29" s="19" t="inlineStr">
        <is>
          <t>Örnek [maʿa]</t>
        </is>
      </c>
      <c r="X29" s="19" t="inlineStr">
        <is>
          <t>Exemple contenant [maʿa]</t>
        </is>
      </c>
    </row>
    <row r="30" ht="25" customHeight="1">
      <c r="A30" s="9" t="n">
        <v>26</v>
      </c>
      <c r="B30" s="22" t="inlineStr">
        <is>
          <t>هُوَ</t>
        </is>
      </c>
      <c r="C30" s="23" t="inlineStr">
        <is>
          <t>huwa</t>
        </is>
      </c>
      <c r="D30" s="12" t="inlineStr">
        <is>
          <t>—</t>
        </is>
      </c>
      <c r="E30" s="12" t="inlineStr">
        <is>
          <t>Personal Pronoun (3rd Masc. Sg.)</t>
        </is>
      </c>
      <c r="F30" s="24" t="n">
        <v>890</v>
      </c>
      <c r="G30" s="25">
        <f>F30/$F$178</f>
        <v/>
      </c>
      <c r="H30" s="25">
        <f>F30/77429</f>
        <v/>
      </c>
      <c r="I30" s="25">
        <f>I29+G30</f>
        <v/>
      </c>
      <c r="J30" s="12" t="inlineStr">
        <is>
          <t>he / it</t>
        </is>
      </c>
      <c r="K30" s="12" t="inlineStr">
        <is>
          <t>সে / তিনি</t>
        </is>
      </c>
      <c r="L30" s="12" t="inlineStr">
        <is>
          <t>وہ (مذکر)</t>
        </is>
      </c>
      <c r="M30" s="12" t="inlineStr">
        <is>
          <t>dia (laki-laki)</t>
        </is>
      </c>
      <c r="N30" s="12" t="inlineStr">
        <is>
          <t>o (erkek)</t>
        </is>
      </c>
      <c r="O30" s="12" t="inlineStr">
        <is>
          <t>il / lui</t>
        </is>
      </c>
      <c r="P30" s="23" t="inlineStr">
        <is>
          <t>Standard Quranic sense.</t>
        </is>
      </c>
      <c r="Q30" s="12" t="inlineStr">
        <is>
          <t>Surah Ref</t>
        </is>
      </c>
      <c r="R30" s="22" t="inlineStr">
        <is>
          <t>【هُوَ】</t>
        </is>
      </c>
      <c r="S30" s="12" t="inlineStr">
        <is>
          <t>Example containing [huwa]</t>
        </is>
      </c>
      <c r="T30" s="12" t="inlineStr">
        <is>
          <t>উদাহরণস্বরূপ [সে / তিনি]</t>
        </is>
      </c>
      <c r="U30" s="12" t="inlineStr">
        <is>
          <t>مثال برائے [وہ (مذکر)]</t>
        </is>
      </c>
      <c r="V30" s="12" t="inlineStr">
        <is>
          <t>Contoh mengandung [huwa]</t>
        </is>
      </c>
      <c r="W30" s="12" t="inlineStr">
        <is>
          <t>Örnek [huwa]</t>
        </is>
      </c>
      <c r="X30" s="12" t="inlineStr">
        <is>
          <t>Exemple contenant [huwa]</t>
        </is>
      </c>
    </row>
    <row r="31" ht="25" customHeight="1">
      <c r="A31" s="16" t="n">
        <v>27</v>
      </c>
      <c r="B31" s="17" t="inlineStr">
        <is>
          <t>هُمْ</t>
        </is>
      </c>
      <c r="C31" s="18" t="inlineStr">
        <is>
          <t>hum</t>
        </is>
      </c>
      <c r="D31" s="19" t="inlineStr">
        <is>
          <t>—</t>
        </is>
      </c>
      <c r="E31" s="19" t="inlineStr">
        <is>
          <t>Personal Pronoun (3rd Masc. Pl.)</t>
        </is>
      </c>
      <c r="F31" s="20" t="n">
        <v>450</v>
      </c>
      <c r="G31" s="21">
        <f>F31/$F$178</f>
        <v/>
      </c>
      <c r="H31" s="21">
        <f>F31/77429</f>
        <v/>
      </c>
      <c r="I31" s="21">
        <f>I30+G31</f>
        <v/>
      </c>
      <c r="J31" s="19" t="inlineStr">
        <is>
          <t>they / them</t>
        </is>
      </c>
      <c r="K31" s="19" t="inlineStr">
        <is>
          <t>তারা / তাহাদের</t>
        </is>
      </c>
      <c r="L31" s="19" t="inlineStr">
        <is>
          <t>وہ سب (مذکر)</t>
        </is>
      </c>
      <c r="M31" s="19" t="inlineStr">
        <is>
          <t>mereka</t>
        </is>
      </c>
      <c r="N31" s="19" t="inlineStr">
        <is>
          <t>onlar</t>
        </is>
      </c>
      <c r="O31" s="19" t="inlineStr">
        <is>
          <t>ils / eux</t>
        </is>
      </c>
      <c r="P31" s="18" t="inlineStr">
        <is>
          <t>Standard Quranic sense.</t>
        </is>
      </c>
      <c r="Q31" s="19" t="inlineStr">
        <is>
          <t>Surah Ref</t>
        </is>
      </c>
      <c r="R31" s="17" t="inlineStr">
        <is>
          <t>【هُمْ】</t>
        </is>
      </c>
      <c r="S31" s="19" t="inlineStr">
        <is>
          <t>Example containing [hum]</t>
        </is>
      </c>
      <c r="T31" s="19" t="inlineStr">
        <is>
          <t>উদাহরণস্বরূপ [তারা / তাহাদের]</t>
        </is>
      </c>
      <c r="U31" s="19" t="inlineStr">
        <is>
          <t>مثال برائے [وہ سب (مذکر)]</t>
        </is>
      </c>
      <c r="V31" s="19" t="inlineStr">
        <is>
          <t>Contoh mengandung [hum]</t>
        </is>
      </c>
      <c r="W31" s="19" t="inlineStr">
        <is>
          <t>Örnek [hum]</t>
        </is>
      </c>
      <c r="X31" s="19" t="inlineStr">
        <is>
          <t>Exemple contenant [hum]</t>
        </is>
      </c>
    </row>
    <row r="32" ht="25" customHeight="1">
      <c r="A32" s="9" t="n">
        <v>28</v>
      </c>
      <c r="B32" s="22" t="inlineStr">
        <is>
          <t>يَا</t>
        </is>
      </c>
      <c r="C32" s="23" t="inlineStr">
        <is>
          <t>yā</t>
        </is>
      </c>
      <c r="D32" s="12" t="inlineStr">
        <is>
          <t>—</t>
        </is>
      </c>
      <c r="E32" s="12" t="inlineStr">
        <is>
          <t>Vocative Particle</t>
        </is>
      </c>
      <c r="F32" s="24" t="n">
        <v>18</v>
      </c>
      <c r="G32" s="25">
        <f>F32/$F$178</f>
        <v/>
      </c>
      <c r="H32" s="25">
        <f>F32/77429</f>
        <v/>
      </c>
      <c r="I32" s="25">
        <f>I31+G32</f>
        <v/>
      </c>
      <c r="J32" s="12" t="inlineStr">
        <is>
          <t>O (calling/summoning)</t>
        </is>
      </c>
      <c r="K32" s="12" t="inlineStr">
        <is>
          <t>হে / ওগো</t>
        </is>
      </c>
      <c r="L32" s="12" t="inlineStr">
        <is>
          <t>اے</t>
        </is>
      </c>
      <c r="M32" s="12" t="inlineStr">
        <is>
          <t>wahai</t>
        </is>
      </c>
      <c r="N32" s="12" t="inlineStr">
        <is>
          <t>ey</t>
        </is>
      </c>
      <c r="O32" s="12" t="inlineStr">
        <is>
          <t>ô</t>
        </is>
      </c>
      <c r="P32" s="23" t="inlineStr">
        <is>
          <t>Standard Quranic sense.</t>
        </is>
      </c>
      <c r="Q32" s="12" t="inlineStr">
        <is>
          <t>Surah Ref</t>
        </is>
      </c>
      <c r="R32" s="22" t="inlineStr">
        <is>
          <t>【يَا】</t>
        </is>
      </c>
      <c r="S32" s="12" t="inlineStr">
        <is>
          <t>Example containing [yā]</t>
        </is>
      </c>
      <c r="T32" s="12" t="inlineStr">
        <is>
          <t>উদাহরণস্বরূপ [হে / ওগো]</t>
        </is>
      </c>
      <c r="U32" s="12" t="inlineStr">
        <is>
          <t>مثال برائے [اے]</t>
        </is>
      </c>
      <c r="V32" s="12" t="inlineStr">
        <is>
          <t>Contoh mengandung [yā]</t>
        </is>
      </c>
      <c r="W32" s="12" t="inlineStr">
        <is>
          <t>Örnek [yā]</t>
        </is>
      </c>
      <c r="X32" s="12" t="inlineStr">
        <is>
          <t>Exemple contenant [yā]</t>
        </is>
      </c>
    </row>
    <row r="33" ht="25" customHeight="1">
      <c r="A33" s="16" t="n">
        <v>29</v>
      </c>
      <c r="B33" s="17" t="inlineStr">
        <is>
          <t>لَكِنَّ</t>
        </is>
      </c>
      <c r="C33" s="18" t="inlineStr">
        <is>
          <t>lākinna</t>
        </is>
      </c>
      <c r="D33" s="19" t="inlineStr">
        <is>
          <t>—</t>
        </is>
      </c>
      <c r="E33" s="19" t="inlineStr">
        <is>
          <t>Accusative Particle</t>
        </is>
      </c>
      <c r="F33" s="20" t="n">
        <v>18</v>
      </c>
      <c r="G33" s="21">
        <f>F33/$F$178</f>
        <v/>
      </c>
      <c r="H33" s="21">
        <f>F33/77429</f>
        <v/>
      </c>
      <c r="I33" s="21">
        <f>I32+G33</f>
        <v/>
      </c>
      <c r="J33" s="19" t="inlineStr">
        <is>
          <t>but / however</t>
        </is>
      </c>
      <c r="K33" s="19" t="inlineStr">
        <is>
          <t>কিন্তু / তবে</t>
        </is>
      </c>
      <c r="L33" s="19" t="inlineStr">
        <is>
          <t>لیکن</t>
        </is>
      </c>
      <c r="M33" s="19" t="inlineStr">
        <is>
          <t>tetapi</t>
        </is>
      </c>
      <c r="N33" s="19" t="inlineStr">
        <is>
          <t>lakin</t>
        </is>
      </c>
      <c r="O33" s="19" t="inlineStr">
        <is>
          <t>mais</t>
        </is>
      </c>
      <c r="P33" s="18" t="inlineStr">
        <is>
          <t>Standard Quranic sense.</t>
        </is>
      </c>
      <c r="Q33" s="19" t="inlineStr">
        <is>
          <t>Surah Ref</t>
        </is>
      </c>
      <c r="R33" s="17" t="inlineStr">
        <is>
          <t>【لَكِنَّ】</t>
        </is>
      </c>
      <c r="S33" s="19" t="inlineStr">
        <is>
          <t>Example containing [lākinna]</t>
        </is>
      </c>
      <c r="T33" s="19" t="inlineStr">
        <is>
          <t>উদাহরণস্বরূপ [কিন্তু / তবে]</t>
        </is>
      </c>
      <c r="U33" s="19" t="inlineStr">
        <is>
          <t>مثال برائے [لیکن]</t>
        </is>
      </c>
      <c r="V33" s="19" t="inlineStr">
        <is>
          <t>Contoh mengandung [lākinna]</t>
        </is>
      </c>
      <c r="W33" s="19" t="inlineStr">
        <is>
          <t>Örnek [lākinna]</t>
        </is>
      </c>
      <c r="X33" s="19" t="inlineStr">
        <is>
          <t>Exemple contenant [lākinna]</t>
        </is>
      </c>
    </row>
    <row r="34" ht="25" customHeight="1">
      <c r="A34" s="9" t="n">
        <v>30</v>
      </c>
      <c r="B34" s="22" t="inlineStr">
        <is>
          <t>لَعَلَّ</t>
        </is>
      </c>
      <c r="C34" s="23" t="inlineStr">
        <is>
          <t>laʿalla</t>
        </is>
      </c>
      <c r="D34" s="12" t="inlineStr">
        <is>
          <t>—</t>
        </is>
      </c>
      <c r="E34" s="12" t="inlineStr">
        <is>
          <t>Accusative Particle</t>
        </is>
      </c>
      <c r="F34" s="24" t="n">
        <v>18</v>
      </c>
      <c r="G34" s="25">
        <f>F34/$F$178</f>
        <v/>
      </c>
      <c r="H34" s="25">
        <f>F34/77429</f>
        <v/>
      </c>
      <c r="I34" s="25">
        <f>I33+G34</f>
        <v/>
      </c>
      <c r="J34" s="12" t="inlineStr">
        <is>
          <t>perhaps / so that</t>
        </is>
      </c>
      <c r="K34" s="12" t="inlineStr">
        <is>
          <t>যাতে / হয়তো</t>
        </is>
      </c>
      <c r="L34" s="12" t="inlineStr">
        <is>
          <t>تاکہ / شاید</t>
        </is>
      </c>
      <c r="M34" s="12" t="inlineStr">
        <is>
          <t>agar / semoga</t>
        </is>
      </c>
      <c r="N34" s="12" t="inlineStr">
        <is>
          <t>umulur ki</t>
        </is>
      </c>
      <c r="O34" s="12" t="inlineStr">
        <is>
          <t>afin que / peut-être</t>
        </is>
      </c>
      <c r="P34" s="23" t="inlineStr">
        <is>
          <t>Standard Quranic sense.</t>
        </is>
      </c>
      <c r="Q34" s="12" t="inlineStr">
        <is>
          <t>Surah Ref</t>
        </is>
      </c>
      <c r="R34" s="22" t="inlineStr">
        <is>
          <t>【لَعَلَّ】</t>
        </is>
      </c>
      <c r="S34" s="12" t="inlineStr">
        <is>
          <t>Example containing [laʿalla]</t>
        </is>
      </c>
      <c r="T34" s="12" t="inlineStr">
        <is>
          <t>উদাহরণস্বরূপ [যাতে / হয়তো]</t>
        </is>
      </c>
      <c r="U34" s="12" t="inlineStr">
        <is>
          <t>مثال برائے [تاکہ / شاید]</t>
        </is>
      </c>
      <c r="V34" s="12" t="inlineStr">
        <is>
          <t>Contoh mengandung [laʿalla]</t>
        </is>
      </c>
      <c r="W34" s="12" t="inlineStr">
        <is>
          <t>Örnek [laʿalla]</t>
        </is>
      </c>
      <c r="X34" s="12" t="inlineStr">
        <is>
          <t>Exemple contenant [laʿalla]</t>
        </is>
      </c>
    </row>
    <row r="35" ht="25" customHeight="1">
      <c r="A35" s="16" t="n">
        <v>31</v>
      </c>
      <c r="B35" s="17" t="inlineStr">
        <is>
          <t>كَأَنَّ</t>
        </is>
      </c>
      <c r="C35" s="18" t="inlineStr">
        <is>
          <t>ka-anna</t>
        </is>
      </c>
      <c r="D35" s="19" t="inlineStr">
        <is>
          <t>—</t>
        </is>
      </c>
      <c r="E35" s="19" t="inlineStr">
        <is>
          <t>Accusative Particle</t>
        </is>
      </c>
      <c r="F35" s="20" t="n">
        <v>18</v>
      </c>
      <c r="G35" s="21">
        <f>F35/$F$178</f>
        <v/>
      </c>
      <c r="H35" s="21">
        <f>F35/77429</f>
        <v/>
      </c>
      <c r="I35" s="21">
        <f>I34+G35</f>
        <v/>
      </c>
      <c r="J35" s="19" t="inlineStr">
        <is>
          <t>as if / like</t>
        </is>
      </c>
      <c r="K35" s="19" t="inlineStr">
        <is>
          <t>যেন / যেন মনে হয়</t>
        </is>
      </c>
      <c r="L35" s="19" t="inlineStr">
        <is>
          <t>گویا کہ</t>
        </is>
      </c>
      <c r="M35" s="19" t="inlineStr">
        <is>
          <t>seakan-akan</t>
        </is>
      </c>
      <c r="N35" s="19" t="inlineStr">
        <is>
          <t>sanki</t>
        </is>
      </c>
      <c r="O35" s="19" t="inlineStr">
        <is>
          <t>comme si</t>
        </is>
      </c>
      <c r="P35" s="18" t="inlineStr">
        <is>
          <t>Standard Quranic sense.</t>
        </is>
      </c>
      <c r="Q35" s="19" t="inlineStr">
        <is>
          <t>Surah Ref</t>
        </is>
      </c>
      <c r="R35" s="17" t="inlineStr">
        <is>
          <t>【كَأَنَّ】</t>
        </is>
      </c>
      <c r="S35" s="19" t="inlineStr">
        <is>
          <t>Example containing [ka-anna]</t>
        </is>
      </c>
      <c r="T35" s="19" t="inlineStr">
        <is>
          <t>উদাহরণস্বরূপ [যেন / যেন মনে হয়]</t>
        </is>
      </c>
      <c r="U35" s="19" t="inlineStr">
        <is>
          <t>مثال برائے [گویا کہ]</t>
        </is>
      </c>
      <c r="V35" s="19" t="inlineStr">
        <is>
          <t>Contoh mengandung [ka-anna]</t>
        </is>
      </c>
      <c r="W35" s="19" t="inlineStr">
        <is>
          <t>Örnek [ka-anna]</t>
        </is>
      </c>
      <c r="X35" s="19" t="inlineStr">
        <is>
          <t>Exemple contenant [ka-anna]</t>
        </is>
      </c>
    </row>
    <row r="36" ht="25" customHeight="1">
      <c r="A36" s="9" t="n">
        <v>32</v>
      </c>
      <c r="B36" s="22" t="inlineStr">
        <is>
          <t>لَيْتَ</t>
        </is>
      </c>
      <c r="C36" s="23" t="inlineStr">
        <is>
          <t>layta</t>
        </is>
      </c>
      <c r="D36" s="12" t="inlineStr">
        <is>
          <t>—</t>
        </is>
      </c>
      <c r="E36" s="12" t="inlineStr">
        <is>
          <t>Accusative Particle</t>
        </is>
      </c>
      <c r="F36" s="24" t="n">
        <v>18</v>
      </c>
      <c r="G36" s="25">
        <f>F36/$F$178</f>
        <v/>
      </c>
      <c r="H36" s="25">
        <f>F36/77429</f>
        <v/>
      </c>
      <c r="I36" s="25">
        <f>I35+G36</f>
        <v/>
      </c>
      <c r="J36" s="12" t="inlineStr">
        <is>
          <t>if only / would that</t>
        </is>
      </c>
      <c r="K36" s="12" t="inlineStr">
        <is>
          <t>হায় যদি / আফসোস</t>
        </is>
      </c>
      <c r="L36" s="12" t="inlineStr">
        <is>
          <t>کاش</t>
        </is>
      </c>
      <c r="M36" s="12" t="inlineStr">
        <is>
          <t>kiranya / seandainya</t>
        </is>
      </c>
      <c r="N36" s="12" t="inlineStr">
        <is>
          <t>keşke</t>
        </is>
      </c>
      <c r="O36" s="12" t="inlineStr">
        <is>
          <t>si seulement</t>
        </is>
      </c>
      <c r="P36" s="23" t="inlineStr">
        <is>
          <t>Standard Quranic sense.</t>
        </is>
      </c>
      <c r="Q36" s="12" t="inlineStr">
        <is>
          <t>Surah Ref</t>
        </is>
      </c>
      <c r="R36" s="22" t="inlineStr">
        <is>
          <t>【لَيْتَ】</t>
        </is>
      </c>
      <c r="S36" s="12" t="inlineStr">
        <is>
          <t>Example containing [layta]</t>
        </is>
      </c>
      <c r="T36" s="12" t="inlineStr">
        <is>
          <t>উদাহরণস্বরূপ [হায় যদি / আফসোস]</t>
        </is>
      </c>
      <c r="U36" s="12" t="inlineStr">
        <is>
          <t>مثال برائے [کاش]</t>
        </is>
      </c>
      <c r="V36" s="12" t="inlineStr">
        <is>
          <t>Contoh mengandung [layta]</t>
        </is>
      </c>
      <c r="W36" s="12" t="inlineStr">
        <is>
          <t>Örnek [layta]</t>
        </is>
      </c>
      <c r="X36" s="12" t="inlineStr">
        <is>
          <t>Exemple contenant [layta]</t>
        </is>
      </c>
    </row>
    <row r="37" ht="25" customHeight="1">
      <c r="A37" s="16" t="n">
        <v>33</v>
      </c>
      <c r="B37" s="17" t="inlineStr">
        <is>
          <t>لَنْ</t>
        </is>
      </c>
      <c r="C37" s="18" t="inlineStr">
        <is>
          <t>lan</t>
        </is>
      </c>
      <c r="D37" s="19" t="inlineStr">
        <is>
          <t>—</t>
        </is>
      </c>
      <c r="E37" s="19" t="inlineStr">
        <is>
          <t>Future Negation</t>
        </is>
      </c>
      <c r="F37" s="20" t="n">
        <v>18</v>
      </c>
      <c r="G37" s="21">
        <f>F37/$F$178</f>
        <v/>
      </c>
      <c r="H37" s="21">
        <f>F37/77429</f>
        <v/>
      </c>
      <c r="I37" s="21">
        <f>I36+G37</f>
        <v/>
      </c>
      <c r="J37" s="19" t="inlineStr">
        <is>
          <t>never (future)</t>
        </is>
      </c>
      <c r="K37" s="19" t="inlineStr">
        <is>
          <t>কখনোই না (ভবিষ্যৎ)</t>
        </is>
      </c>
      <c r="L37" s="19" t="inlineStr">
        <is>
          <t>ہرگز نہیں</t>
        </is>
      </c>
      <c r="M37" s="19" t="inlineStr">
        <is>
          <t>tidak akan sekali-kali</t>
        </is>
      </c>
      <c r="N37" s="19" t="inlineStr">
        <is>
          <t>asla</t>
        </is>
      </c>
      <c r="O37" s="19" t="inlineStr">
        <is>
          <t>ne... jamais</t>
        </is>
      </c>
      <c r="P37" s="18" t="inlineStr">
        <is>
          <t>Standard Quranic sense.</t>
        </is>
      </c>
      <c r="Q37" s="19" t="inlineStr">
        <is>
          <t>Surah Ref</t>
        </is>
      </c>
      <c r="R37" s="17" t="inlineStr">
        <is>
          <t>【لَنْ】</t>
        </is>
      </c>
      <c r="S37" s="19" t="inlineStr">
        <is>
          <t>Example containing [lan]</t>
        </is>
      </c>
      <c r="T37" s="19" t="inlineStr">
        <is>
          <t>উদাহরণস্বরূপ [কখনোই না (ভবিষ্যৎ)]</t>
        </is>
      </c>
      <c r="U37" s="19" t="inlineStr">
        <is>
          <t>مثال برائے [ہرگز نہیں]</t>
        </is>
      </c>
      <c r="V37" s="19" t="inlineStr">
        <is>
          <t>Contoh mengandung [lan]</t>
        </is>
      </c>
      <c r="W37" s="19" t="inlineStr">
        <is>
          <t>Örnek [lan]</t>
        </is>
      </c>
      <c r="X37" s="19" t="inlineStr">
        <is>
          <t>Exemple contenant [lan]</t>
        </is>
      </c>
    </row>
    <row r="38" ht="25" customHeight="1">
      <c r="A38" s="9" t="n">
        <v>34</v>
      </c>
      <c r="B38" s="22" t="inlineStr">
        <is>
          <t>سَوْفَ</t>
        </is>
      </c>
      <c r="C38" s="23" t="inlineStr">
        <is>
          <t>sawfa</t>
        </is>
      </c>
      <c r="D38" s="12" t="inlineStr">
        <is>
          <t>—</t>
        </is>
      </c>
      <c r="E38" s="12" t="inlineStr">
        <is>
          <t>Future Particle</t>
        </is>
      </c>
      <c r="F38" s="24" t="n">
        <v>18</v>
      </c>
      <c r="G38" s="25">
        <f>F38/$F$178</f>
        <v/>
      </c>
      <c r="H38" s="25">
        <f>F38/77429</f>
        <v/>
      </c>
      <c r="I38" s="25">
        <f>I37+G38</f>
        <v/>
      </c>
      <c r="J38" s="12" t="inlineStr">
        <is>
          <t>will / shall (future)</t>
        </is>
      </c>
      <c r="K38" s="12" t="inlineStr">
        <is>
          <t>শীঘ্রই (ভবিষ্যৎ)</t>
        </is>
      </c>
      <c r="L38" s="12" t="inlineStr">
        <is>
          <t>عنقریب</t>
        </is>
      </c>
      <c r="M38" s="12" t="inlineStr">
        <is>
          <t>kelak / akan</t>
        </is>
      </c>
      <c r="N38" s="12" t="inlineStr">
        <is>
          <t>yakında / sonra</t>
        </is>
      </c>
      <c r="O38" s="12" t="inlineStr">
        <is>
          <t>bientôt</t>
        </is>
      </c>
      <c r="P38" s="23" t="inlineStr">
        <is>
          <t>Standard Quranic sense.</t>
        </is>
      </c>
      <c r="Q38" s="12" t="inlineStr">
        <is>
          <t>Surah Ref</t>
        </is>
      </c>
      <c r="R38" s="22" t="inlineStr">
        <is>
          <t>【سَوْفَ】</t>
        </is>
      </c>
      <c r="S38" s="12" t="inlineStr">
        <is>
          <t>Example containing [sawfa]</t>
        </is>
      </c>
      <c r="T38" s="12" t="inlineStr">
        <is>
          <t>উদাহরণস্বরূপ [শীঘ্রই (ভবিষ্যৎ)]</t>
        </is>
      </c>
      <c r="U38" s="12" t="inlineStr">
        <is>
          <t>مثال برائے [عنقریب]</t>
        </is>
      </c>
      <c r="V38" s="12" t="inlineStr">
        <is>
          <t>Contoh mengandung [sawfa]</t>
        </is>
      </c>
      <c r="W38" s="12" t="inlineStr">
        <is>
          <t>Örnek [sawfa]</t>
        </is>
      </c>
      <c r="X38" s="12" t="inlineStr">
        <is>
          <t>Exemple contenant [sawfa]</t>
        </is>
      </c>
    </row>
    <row r="39" ht="25" customHeight="1">
      <c r="A39" s="16" t="n">
        <v>35</v>
      </c>
      <c r="B39" s="17" t="inlineStr">
        <is>
          <t>كَلَّا</t>
        </is>
      </c>
      <c r="C39" s="18" t="inlineStr">
        <is>
          <t>kallā</t>
        </is>
      </c>
      <c r="D39" s="19" t="inlineStr">
        <is>
          <t>—</t>
        </is>
      </c>
      <c r="E39" s="19" t="inlineStr">
        <is>
          <t>Aversion Particle</t>
        </is>
      </c>
      <c r="F39" s="20" t="n">
        <v>18</v>
      </c>
      <c r="G39" s="21">
        <f>F39/$F$178</f>
        <v/>
      </c>
      <c r="H39" s="21">
        <f>F39/77429</f>
        <v/>
      </c>
      <c r="I39" s="21">
        <f>I38+G39</f>
        <v/>
      </c>
      <c r="J39" s="19" t="inlineStr">
        <is>
          <t>nay / never / by no means</t>
        </is>
      </c>
      <c r="K39" s="19" t="inlineStr">
        <is>
          <t>কখনোই নয় / ধিক্কার</t>
        </is>
      </c>
      <c r="L39" s="19" t="inlineStr">
        <is>
          <t>ہرگز نہیں</t>
        </is>
      </c>
      <c r="M39" s="19" t="inlineStr">
        <is>
          <t>sekali-kali tidak</t>
        </is>
      </c>
      <c r="N39" s="19" t="inlineStr">
        <is>
          <t>hayır / asla</t>
        </is>
      </c>
      <c r="O39" s="19" t="inlineStr">
        <is>
          <t>point du tout</t>
        </is>
      </c>
      <c r="P39" s="18" t="inlineStr">
        <is>
          <t>Standard Quranic sense.</t>
        </is>
      </c>
      <c r="Q39" s="19" t="inlineStr">
        <is>
          <t>Surah Ref</t>
        </is>
      </c>
      <c r="R39" s="17" t="inlineStr">
        <is>
          <t>【كَلَّا】</t>
        </is>
      </c>
      <c r="S39" s="19" t="inlineStr">
        <is>
          <t>Example containing [kallā]</t>
        </is>
      </c>
      <c r="T39" s="19" t="inlineStr">
        <is>
          <t>উদাহরণস্বরূপ [কখনোই নয় / ধিক্কার]</t>
        </is>
      </c>
      <c r="U39" s="19" t="inlineStr">
        <is>
          <t>مثال برائے [ہرگز نہیں]</t>
        </is>
      </c>
      <c r="V39" s="19" t="inlineStr">
        <is>
          <t>Contoh mengandung [kallā]</t>
        </is>
      </c>
      <c r="W39" s="19" t="inlineStr">
        <is>
          <t>Örnek [kallā]</t>
        </is>
      </c>
      <c r="X39" s="19" t="inlineStr">
        <is>
          <t>Exemple contenant [kallā]</t>
        </is>
      </c>
    </row>
    <row r="40" ht="25" customHeight="1">
      <c r="A40" s="9" t="n">
        <v>36</v>
      </c>
      <c r="B40" s="22" t="inlineStr">
        <is>
          <t>هَلْ</t>
        </is>
      </c>
      <c r="C40" s="23" t="inlineStr">
        <is>
          <t>hal</t>
        </is>
      </c>
      <c r="D40" s="12" t="inlineStr">
        <is>
          <t>—</t>
        </is>
      </c>
      <c r="E40" s="12" t="inlineStr">
        <is>
          <t>Interrogative Particle</t>
        </is>
      </c>
      <c r="F40" s="24" t="n">
        <v>18</v>
      </c>
      <c r="G40" s="25">
        <f>F40/$F$178</f>
        <v/>
      </c>
      <c r="H40" s="25">
        <f>F40/77429</f>
        <v/>
      </c>
      <c r="I40" s="25">
        <f>I39+G40</f>
        <v/>
      </c>
      <c r="J40" s="12" t="inlineStr">
        <is>
          <t>is there / did</t>
        </is>
      </c>
      <c r="K40" s="12" t="inlineStr">
        <is>
          <t>কি? / আছে কি?</t>
        </is>
      </c>
      <c r="L40" s="12" t="inlineStr">
        <is>
          <t>کیا</t>
        </is>
      </c>
      <c r="M40" s="12" t="inlineStr">
        <is>
          <t>apakah</t>
        </is>
      </c>
      <c r="N40" s="12" t="inlineStr">
        <is>
          <t>mi / mı</t>
        </is>
      </c>
      <c r="O40" s="12" t="inlineStr">
        <is>
          <t>est-ce que</t>
        </is>
      </c>
      <c r="P40" s="23" t="inlineStr">
        <is>
          <t>Standard Quranic sense.</t>
        </is>
      </c>
      <c r="Q40" s="12" t="inlineStr">
        <is>
          <t>Surah Ref</t>
        </is>
      </c>
      <c r="R40" s="22" t="inlineStr">
        <is>
          <t>【هَلْ】</t>
        </is>
      </c>
      <c r="S40" s="12" t="inlineStr">
        <is>
          <t>Example containing [hal]</t>
        </is>
      </c>
      <c r="T40" s="12" t="inlineStr">
        <is>
          <t>উদাহরণস্বরূপ [কি? / আছে কি?]</t>
        </is>
      </c>
      <c r="U40" s="12" t="inlineStr">
        <is>
          <t>مثال برائے [کیا]</t>
        </is>
      </c>
      <c r="V40" s="12" t="inlineStr">
        <is>
          <t>Contoh mengandung [hal]</t>
        </is>
      </c>
      <c r="W40" s="12" t="inlineStr">
        <is>
          <t>Örnek [hal]</t>
        </is>
      </c>
      <c r="X40" s="12" t="inlineStr">
        <is>
          <t>Exemple contenant [hal]</t>
        </is>
      </c>
    </row>
    <row r="41" ht="25" customHeight="1">
      <c r="A41" s="16" t="n">
        <v>37</v>
      </c>
      <c r="B41" s="17" t="inlineStr">
        <is>
          <t>بَلَىٰ</t>
        </is>
      </c>
      <c r="C41" s="18" t="inlineStr">
        <is>
          <t>balā</t>
        </is>
      </c>
      <c r="D41" s="19" t="inlineStr">
        <is>
          <t>—</t>
        </is>
      </c>
      <c r="E41" s="19" t="inlineStr">
        <is>
          <t>Affirmative Answer</t>
        </is>
      </c>
      <c r="F41" s="20" t="n">
        <v>18</v>
      </c>
      <c r="G41" s="21">
        <f>F41/$F$178</f>
        <v/>
      </c>
      <c r="H41" s="21">
        <f>F41/77429</f>
        <v/>
      </c>
      <c r="I41" s="21">
        <f>I40+G41</f>
        <v/>
      </c>
      <c r="J41" s="19" t="inlineStr">
        <is>
          <t>yes / nay / on the contrary</t>
        </is>
      </c>
      <c r="K41" s="19" t="inlineStr">
        <is>
          <t>হ্যাঁ / অবশ্যই</t>
        </is>
      </c>
      <c r="L41" s="19" t="inlineStr">
        <is>
          <t>کیوں نہیں</t>
        </is>
      </c>
      <c r="M41" s="19" t="inlineStr">
        <is>
          <t>bahkan / tentu saja</t>
        </is>
      </c>
      <c r="N41" s="19" t="inlineStr">
        <is>
          <t>evet / bilakis</t>
        </is>
      </c>
      <c r="O41" s="19" t="inlineStr">
        <is>
          <t>mais si</t>
        </is>
      </c>
      <c r="P41" s="18" t="inlineStr">
        <is>
          <t>Standard Quranic sense.</t>
        </is>
      </c>
      <c r="Q41" s="19" t="inlineStr">
        <is>
          <t>Surah Ref</t>
        </is>
      </c>
      <c r="R41" s="17" t="inlineStr">
        <is>
          <t>【بَلَىٰ】</t>
        </is>
      </c>
      <c r="S41" s="19" t="inlineStr">
        <is>
          <t>Example containing [balā]</t>
        </is>
      </c>
      <c r="T41" s="19" t="inlineStr">
        <is>
          <t>উদাহরণস্বরূপ [হ্যাঁ / অবশ্যই]</t>
        </is>
      </c>
      <c r="U41" s="19" t="inlineStr">
        <is>
          <t>مثال برائے [کیوں نہیں]</t>
        </is>
      </c>
      <c r="V41" s="19" t="inlineStr">
        <is>
          <t>Contoh mengandung [balā]</t>
        </is>
      </c>
      <c r="W41" s="19" t="inlineStr">
        <is>
          <t>Örnek [balā]</t>
        </is>
      </c>
      <c r="X41" s="19" t="inlineStr">
        <is>
          <t>Exemple contenant [balā]</t>
        </is>
      </c>
    </row>
    <row r="42" ht="25" customHeight="1">
      <c r="A42" s="9" t="n">
        <v>38</v>
      </c>
      <c r="B42" s="22" t="inlineStr">
        <is>
          <t>نَعَمْ</t>
        </is>
      </c>
      <c r="C42" s="23" t="inlineStr">
        <is>
          <t>naʿam</t>
        </is>
      </c>
      <c r="D42" s="12" t="inlineStr">
        <is>
          <t>—</t>
        </is>
      </c>
      <c r="E42" s="12" t="inlineStr">
        <is>
          <t>Answer Particle</t>
        </is>
      </c>
      <c r="F42" s="24" t="n">
        <v>18</v>
      </c>
      <c r="G42" s="25">
        <f>F42/$F$178</f>
        <v/>
      </c>
      <c r="H42" s="25">
        <f>F42/77429</f>
        <v/>
      </c>
      <c r="I42" s="25">
        <f>I41+G42</f>
        <v/>
      </c>
      <c r="J42" s="12" t="inlineStr">
        <is>
          <t>yes</t>
        </is>
      </c>
      <c r="K42" s="12" t="inlineStr">
        <is>
          <t>হ্যাঁ</t>
        </is>
      </c>
      <c r="L42" s="12" t="inlineStr">
        <is>
          <t>ہاں / جی ہاں</t>
        </is>
      </c>
      <c r="M42" s="12" t="inlineStr">
        <is>
          <t>ya / benar</t>
        </is>
      </c>
      <c r="N42" s="12" t="inlineStr">
        <is>
          <t>evet</t>
        </is>
      </c>
      <c r="O42" s="12" t="inlineStr">
        <is>
          <t>oui</t>
        </is>
      </c>
      <c r="P42" s="23" t="inlineStr">
        <is>
          <t>Standard Quranic sense.</t>
        </is>
      </c>
      <c r="Q42" s="12" t="inlineStr">
        <is>
          <t>Surah Ref</t>
        </is>
      </c>
      <c r="R42" s="22" t="inlineStr">
        <is>
          <t>【نَعَمْ】</t>
        </is>
      </c>
      <c r="S42" s="12" t="inlineStr">
        <is>
          <t>Example containing [naʿam]</t>
        </is>
      </c>
      <c r="T42" s="12" t="inlineStr">
        <is>
          <t>উদাহরণস্বরূপ [হ্যাঁ]</t>
        </is>
      </c>
      <c r="U42" s="12" t="inlineStr">
        <is>
          <t>مثال برائے [ہاں / جی ہاں]</t>
        </is>
      </c>
      <c r="V42" s="12" t="inlineStr">
        <is>
          <t>Contoh mengandung [naʿam]</t>
        </is>
      </c>
      <c r="W42" s="12" t="inlineStr">
        <is>
          <t>Örnek [naʿam]</t>
        </is>
      </c>
      <c r="X42" s="12" t="inlineStr">
        <is>
          <t>Exemple contenant [naʿam]</t>
        </is>
      </c>
    </row>
    <row r="43" ht="25" customHeight="1">
      <c r="A43" s="16" t="n">
        <v>39</v>
      </c>
      <c r="B43" s="17" t="inlineStr">
        <is>
          <t>بَلْ</t>
        </is>
      </c>
      <c r="C43" s="18" t="inlineStr">
        <is>
          <t>bal</t>
        </is>
      </c>
      <c r="D43" s="19" t="inlineStr">
        <is>
          <t>—</t>
        </is>
      </c>
      <c r="E43" s="19" t="inlineStr">
        <is>
          <t>Retraction Conjunction</t>
        </is>
      </c>
      <c r="F43" s="20" t="n">
        <v>18</v>
      </c>
      <c r="G43" s="21">
        <f>F43/$F$178</f>
        <v/>
      </c>
      <c r="H43" s="21">
        <f>F43/77429</f>
        <v/>
      </c>
      <c r="I43" s="21">
        <f>I42+G43</f>
        <v/>
      </c>
      <c r="J43" s="19" t="inlineStr">
        <is>
          <t>but / rather / nay</t>
        </is>
      </c>
      <c r="K43" s="19" t="inlineStr">
        <is>
          <t>বরং / অধিকন্তু</t>
        </is>
      </c>
      <c r="L43" s="19" t="inlineStr">
        <is>
          <t>بلکہ</t>
        </is>
      </c>
      <c r="M43" s="19" t="inlineStr">
        <is>
          <t>bahkan / tetapi</t>
        </is>
      </c>
      <c r="N43" s="19" t="inlineStr">
        <is>
          <t>bilakis / aksine</t>
        </is>
      </c>
      <c r="O43" s="19" t="inlineStr">
        <is>
          <t>mais / plutôt</t>
        </is>
      </c>
      <c r="P43" s="18" t="inlineStr">
        <is>
          <t>Standard Quranic sense.</t>
        </is>
      </c>
      <c r="Q43" s="19" t="inlineStr">
        <is>
          <t>Surah Ref</t>
        </is>
      </c>
      <c r="R43" s="17" t="inlineStr">
        <is>
          <t>【بَلْ】</t>
        </is>
      </c>
      <c r="S43" s="19" t="inlineStr">
        <is>
          <t>Example containing [bal]</t>
        </is>
      </c>
      <c r="T43" s="19" t="inlineStr">
        <is>
          <t>উদাহরণস্বরূপ [বরং / অধিকন্তু]</t>
        </is>
      </c>
      <c r="U43" s="19" t="inlineStr">
        <is>
          <t>مثال برائے [بلکہ]</t>
        </is>
      </c>
      <c r="V43" s="19" t="inlineStr">
        <is>
          <t>Contoh mengandung [bal]</t>
        </is>
      </c>
      <c r="W43" s="19" t="inlineStr">
        <is>
          <t>Örnek [bal]</t>
        </is>
      </c>
      <c r="X43" s="19" t="inlineStr">
        <is>
          <t>Exemple contenant [bal]</t>
        </is>
      </c>
    </row>
    <row r="44" ht="25" customHeight="1">
      <c r="A44" s="9" t="n">
        <v>40</v>
      </c>
      <c r="B44" s="22" t="inlineStr">
        <is>
          <t>حَتَّىٰ</t>
        </is>
      </c>
      <c r="C44" s="23" t="inlineStr">
        <is>
          <t>ḥattā</t>
        </is>
      </c>
      <c r="D44" s="12" t="inlineStr">
        <is>
          <t>—</t>
        </is>
      </c>
      <c r="E44" s="12" t="inlineStr">
        <is>
          <t>Preposition / Conjunction</t>
        </is>
      </c>
      <c r="F44" s="24" t="n">
        <v>18</v>
      </c>
      <c r="G44" s="25">
        <f>F44/$F$178</f>
        <v/>
      </c>
      <c r="H44" s="25">
        <f>F44/77429</f>
        <v/>
      </c>
      <c r="I44" s="25">
        <f>I43+G44</f>
        <v/>
      </c>
      <c r="J44" s="12" t="inlineStr">
        <is>
          <t>until / up to / even</t>
        </is>
      </c>
      <c r="K44" s="12" t="inlineStr">
        <is>
          <t>পর্যন্ত / এমনকি</t>
        </is>
      </c>
      <c r="L44" s="12" t="inlineStr">
        <is>
          <t>حتیٰ کہ / تک</t>
        </is>
      </c>
      <c r="M44" s="12" t="inlineStr">
        <is>
          <t>hingga / sampai</t>
        </is>
      </c>
      <c r="N44" s="12" t="inlineStr">
        <is>
          <t>kadar / hatta</t>
        </is>
      </c>
      <c r="O44" s="12" t="inlineStr">
        <is>
          <t>jusqu'à / même</t>
        </is>
      </c>
      <c r="P44" s="23" t="inlineStr">
        <is>
          <t>Standard Quranic sense.</t>
        </is>
      </c>
      <c r="Q44" s="12" t="inlineStr">
        <is>
          <t>Surah Ref</t>
        </is>
      </c>
      <c r="R44" s="22" t="inlineStr">
        <is>
          <t>【حَتَّىٰ】</t>
        </is>
      </c>
      <c r="S44" s="12" t="inlineStr">
        <is>
          <t>Example containing [ḥattā]</t>
        </is>
      </c>
      <c r="T44" s="12" t="inlineStr">
        <is>
          <t>উদাহরণস্বরূপ [পর্যন্ত / এমনকি]</t>
        </is>
      </c>
      <c r="U44" s="12" t="inlineStr">
        <is>
          <t>مثال برائے [حتیٰ کہ / تک]</t>
        </is>
      </c>
      <c r="V44" s="12" t="inlineStr">
        <is>
          <t>Contoh mengandung [ḥattā]</t>
        </is>
      </c>
      <c r="W44" s="12" t="inlineStr">
        <is>
          <t>Örnek [ḥattā]</t>
        </is>
      </c>
      <c r="X44" s="12" t="inlineStr">
        <is>
          <t>Exemple contenant [ḥattā]</t>
        </is>
      </c>
    </row>
    <row r="45" ht="25" customHeight="1">
      <c r="A45" s="16" t="n">
        <v>41</v>
      </c>
      <c r="B45" s="17" t="inlineStr">
        <is>
          <t>أَمْ</t>
        </is>
      </c>
      <c r="C45" s="18" t="inlineStr">
        <is>
          <t>am</t>
        </is>
      </c>
      <c r="D45" s="19" t="inlineStr">
        <is>
          <t>—</t>
        </is>
      </c>
      <c r="E45" s="19" t="inlineStr">
        <is>
          <t>Coordinating Conjunction</t>
        </is>
      </c>
      <c r="F45" s="20" t="n">
        <v>18</v>
      </c>
      <c r="G45" s="21">
        <f>F45/$F$178</f>
        <v/>
      </c>
      <c r="H45" s="21">
        <f>F45/77429</f>
        <v/>
      </c>
      <c r="I45" s="21">
        <f>I44+G45</f>
        <v/>
      </c>
      <c r="J45" s="19" t="inlineStr">
        <is>
          <t>or / is it</t>
        </is>
      </c>
      <c r="K45" s="19" t="inlineStr">
        <is>
          <t>নাকি / অথবা</t>
        </is>
      </c>
      <c r="L45" s="19" t="inlineStr">
        <is>
          <t>یا / کیا</t>
        </is>
      </c>
      <c r="M45" s="19" t="inlineStr">
        <is>
          <t>atau / apakah</t>
        </is>
      </c>
      <c r="N45" s="19" t="inlineStr">
        <is>
          <t>veya / yoksa</t>
        </is>
      </c>
      <c r="O45" s="19" t="inlineStr">
        <is>
          <t>ou bien</t>
        </is>
      </c>
      <c r="P45" s="18" t="inlineStr">
        <is>
          <t>Standard Quranic sense.</t>
        </is>
      </c>
      <c r="Q45" s="19" t="inlineStr">
        <is>
          <t>Surah Ref</t>
        </is>
      </c>
      <c r="R45" s="17" t="inlineStr">
        <is>
          <t>【أَمْ】</t>
        </is>
      </c>
      <c r="S45" s="19" t="inlineStr">
        <is>
          <t>Example containing [am]</t>
        </is>
      </c>
      <c r="T45" s="19" t="inlineStr">
        <is>
          <t>উদাহরণস্বরূপ [নাকি / অথবা]</t>
        </is>
      </c>
      <c r="U45" s="19" t="inlineStr">
        <is>
          <t>مثال برائے [یا / کیا]</t>
        </is>
      </c>
      <c r="V45" s="19" t="inlineStr">
        <is>
          <t>Contoh mengandung [am]</t>
        </is>
      </c>
      <c r="W45" s="19" t="inlineStr">
        <is>
          <t>Örnek [am]</t>
        </is>
      </c>
      <c r="X45" s="19" t="inlineStr">
        <is>
          <t>Exemple contenant [am]</t>
        </is>
      </c>
    </row>
    <row r="46" ht="25" customHeight="1">
      <c r="A46" s="9" t="n">
        <v>42</v>
      </c>
      <c r="B46" s="22" t="inlineStr">
        <is>
          <t>أَلَا</t>
        </is>
      </c>
      <c r="C46" s="23" t="inlineStr">
        <is>
          <t>alā</t>
        </is>
      </c>
      <c r="D46" s="12" t="inlineStr">
        <is>
          <t>—</t>
        </is>
      </c>
      <c r="E46" s="12" t="inlineStr">
        <is>
          <t>Inceptive Particle</t>
        </is>
      </c>
      <c r="F46" s="24" t="n">
        <v>18</v>
      </c>
      <c r="G46" s="25">
        <f>F46/$F$178</f>
        <v/>
      </c>
      <c r="H46" s="25">
        <f>F46/77429</f>
        <v/>
      </c>
      <c r="I46" s="25">
        <f>I45+G46</f>
        <v/>
      </c>
      <c r="J46" s="12" t="inlineStr">
        <is>
          <t>verily / behold / pay attention</t>
        </is>
      </c>
      <c r="K46" s="12" t="inlineStr">
        <is>
          <t>শোনো! / সাবধান!</t>
        </is>
      </c>
      <c r="L46" s="12" t="inlineStr">
        <is>
          <t>خبردار / سنو</t>
        </is>
      </c>
      <c r="M46" s="12" t="inlineStr">
        <is>
          <t>ingatlah / ketahuilah</t>
        </is>
      </c>
      <c r="N46" s="12" t="inlineStr">
        <is>
          <t>uyarı / şüpheshow</t>
        </is>
      </c>
      <c r="O46" s="12" t="inlineStr">
        <is>
          <t>gare à / écoute</t>
        </is>
      </c>
      <c r="P46" s="23" t="inlineStr">
        <is>
          <t>Standard Quranic sense.</t>
        </is>
      </c>
      <c r="Q46" s="12" t="inlineStr">
        <is>
          <t>Surah Ref</t>
        </is>
      </c>
      <c r="R46" s="22" t="inlineStr">
        <is>
          <t>【أَلَا】</t>
        </is>
      </c>
      <c r="S46" s="12" t="inlineStr">
        <is>
          <t>Example containing [alā]</t>
        </is>
      </c>
      <c r="T46" s="12" t="inlineStr">
        <is>
          <t>উদাহরণস্বরূপ [শোনো! / সাবধান!]</t>
        </is>
      </c>
      <c r="U46" s="12" t="inlineStr">
        <is>
          <t>مثال برائے [خبردار / سنو]</t>
        </is>
      </c>
      <c r="V46" s="12" t="inlineStr">
        <is>
          <t>Contoh mengandung [alā]</t>
        </is>
      </c>
      <c r="W46" s="12" t="inlineStr">
        <is>
          <t>Örnek [alā]</t>
        </is>
      </c>
      <c r="X46" s="12" t="inlineStr">
        <is>
          <t>Exemple contenant [alā]</t>
        </is>
      </c>
    </row>
    <row r="47" ht="25" customHeight="1">
      <c r="A47" s="16" t="n">
        <v>43</v>
      </c>
      <c r="B47" s="17" t="inlineStr">
        <is>
          <t>بَيْنَ</t>
        </is>
      </c>
      <c r="C47" s="18" t="inlineStr">
        <is>
          <t>bayna</t>
        </is>
      </c>
      <c r="D47" s="19" t="inlineStr">
        <is>
          <t>—</t>
        </is>
      </c>
      <c r="E47" s="19" t="inlineStr">
        <is>
          <t>Location Adverb</t>
        </is>
      </c>
      <c r="F47" s="20" t="n">
        <v>18</v>
      </c>
      <c r="G47" s="21">
        <f>F47/$F$178</f>
        <v/>
      </c>
      <c r="H47" s="21">
        <f>F47/77429</f>
        <v/>
      </c>
      <c r="I47" s="21">
        <f>I46+G47</f>
        <v/>
      </c>
      <c r="J47" s="19" t="inlineStr">
        <is>
          <t>between / among</t>
        </is>
      </c>
      <c r="K47" s="19" t="inlineStr">
        <is>
          <t>মধ্যে / দুইয়ের মাঝে</t>
        </is>
      </c>
      <c r="L47" s="19" t="inlineStr">
        <is>
          <t>درمیان / بیچ</t>
        </is>
      </c>
      <c r="M47" s="19" t="inlineStr">
        <is>
          <t>di antara</t>
        </is>
      </c>
      <c r="N47" s="19" t="inlineStr">
        <is>
          <t>arasında</t>
        </is>
      </c>
      <c r="O47" s="19" t="inlineStr">
        <is>
          <t>entre</t>
        </is>
      </c>
      <c r="P47" s="18" t="inlineStr">
        <is>
          <t>Standard Quranic sense.</t>
        </is>
      </c>
      <c r="Q47" s="19" t="inlineStr">
        <is>
          <t>Surah Ref</t>
        </is>
      </c>
      <c r="R47" s="17" t="inlineStr">
        <is>
          <t>【بَيْنَ】</t>
        </is>
      </c>
      <c r="S47" s="19" t="inlineStr">
        <is>
          <t>Example containing [bayna]</t>
        </is>
      </c>
      <c r="T47" s="19" t="inlineStr">
        <is>
          <t>উদাহরণস্বরূপ [মধ্যে / দুইয়ের মাঝে]</t>
        </is>
      </c>
      <c r="U47" s="19" t="inlineStr">
        <is>
          <t>مثال برائے [درمیان / بیچ]</t>
        </is>
      </c>
      <c r="V47" s="19" t="inlineStr">
        <is>
          <t>Contoh mengandung [bayna]</t>
        </is>
      </c>
      <c r="W47" s="19" t="inlineStr">
        <is>
          <t>Örnek [bayna]</t>
        </is>
      </c>
      <c r="X47" s="19" t="inlineStr">
        <is>
          <t>Exemple contenant [bayna]</t>
        </is>
      </c>
    </row>
    <row r="48" ht="25" customHeight="1">
      <c r="A48" s="9" t="n">
        <v>44</v>
      </c>
      <c r="B48" s="22" t="inlineStr">
        <is>
          <t>تَـ</t>
        </is>
      </c>
      <c r="C48" s="23" t="inlineStr">
        <is>
          <t>ta-</t>
        </is>
      </c>
      <c r="D48" s="12" t="inlineStr">
        <is>
          <t>—</t>
        </is>
      </c>
      <c r="E48" s="12" t="inlineStr">
        <is>
          <t>Oath Prefix</t>
        </is>
      </c>
      <c r="F48" s="24" t="n">
        <v>18</v>
      </c>
      <c r="G48" s="25">
        <f>F48/$F$178</f>
        <v/>
      </c>
      <c r="H48" s="25">
        <f>F48/77429</f>
        <v/>
      </c>
      <c r="I48" s="25">
        <f>I47+G48</f>
        <v/>
      </c>
      <c r="J48" s="12" t="inlineStr">
        <is>
          <t>by (used only with Allah)</t>
        </is>
      </c>
      <c r="K48" s="12" t="inlineStr">
        <is>
          <t>শপথ (কেবল আল্লাহর)</t>
        </is>
      </c>
      <c r="L48" s="12" t="inlineStr">
        <is>
          <t>قسم (اللہ کی)</t>
        </is>
      </c>
      <c r="M48" s="12" t="inlineStr">
        <is>
          <t>demi (Allah)</t>
        </is>
      </c>
      <c r="N48" s="12" t="inlineStr">
        <is>
          <t>kasem</t>
        </is>
      </c>
      <c r="O48" s="12" t="inlineStr">
        <is>
          <t>par (Allah)</t>
        </is>
      </c>
      <c r="P48" s="23" t="inlineStr">
        <is>
          <t>Standard Quranic sense.</t>
        </is>
      </c>
      <c r="Q48" s="12" t="inlineStr">
        <is>
          <t>Surah Ref</t>
        </is>
      </c>
      <c r="R48" s="22" t="inlineStr">
        <is>
          <t>【تَـ】</t>
        </is>
      </c>
      <c r="S48" s="12" t="inlineStr">
        <is>
          <t>Example containing [ta-]</t>
        </is>
      </c>
      <c r="T48" s="12" t="inlineStr">
        <is>
          <t>উদাহরণস্বরূপ [শপথ (কেবল আল্লাহর)]</t>
        </is>
      </c>
      <c r="U48" s="12" t="inlineStr">
        <is>
          <t>مثال برائے [قسم (اللہ کی)]</t>
        </is>
      </c>
      <c r="V48" s="12" t="inlineStr">
        <is>
          <t>Contoh mengandung [ta-]</t>
        </is>
      </c>
      <c r="W48" s="12" t="inlineStr">
        <is>
          <t>Örnek [ta-]</t>
        </is>
      </c>
      <c r="X48" s="12" t="inlineStr">
        <is>
          <t>Exemple contenant [ta-]</t>
        </is>
      </c>
    </row>
    <row r="49" ht="25" customHeight="1">
      <c r="A49" s="16" t="n">
        <v>45</v>
      </c>
      <c r="B49" s="17" t="inlineStr">
        <is>
          <t>كَـ</t>
        </is>
      </c>
      <c r="C49" s="18" t="inlineStr">
        <is>
          <t>ka-</t>
        </is>
      </c>
      <c r="D49" s="19" t="inlineStr">
        <is>
          <t>—</t>
        </is>
      </c>
      <c r="E49" s="19" t="inlineStr">
        <is>
          <t>Resemblance Prefix</t>
        </is>
      </c>
      <c r="F49" s="20" t="n">
        <v>18</v>
      </c>
      <c r="G49" s="21">
        <f>F49/$F$178</f>
        <v/>
      </c>
      <c r="H49" s="21">
        <f>F49/77429</f>
        <v/>
      </c>
      <c r="I49" s="21">
        <f>I48+G49</f>
        <v/>
      </c>
      <c r="J49" s="19" t="inlineStr">
        <is>
          <t>like / as</t>
        </is>
      </c>
      <c r="K49" s="19" t="inlineStr">
        <is>
          <t>মতো / যেমন</t>
        </is>
      </c>
      <c r="L49" s="19" t="inlineStr">
        <is>
          <t>جیسے / طرح</t>
        </is>
      </c>
      <c r="M49" s="19" t="inlineStr">
        <is>
          <t>seperti / bagaikan</t>
        </is>
      </c>
      <c r="N49" s="19" t="inlineStr">
        <is>
          <t>gibi</t>
        </is>
      </c>
      <c r="O49" s="19" t="inlineStr">
        <is>
          <t>comme</t>
        </is>
      </c>
      <c r="P49" s="18" t="inlineStr">
        <is>
          <t>Standard Quranic sense.</t>
        </is>
      </c>
      <c r="Q49" s="19" t="inlineStr">
        <is>
          <t>Surah Ref</t>
        </is>
      </c>
      <c r="R49" s="17" t="inlineStr">
        <is>
          <t>【كَـ】</t>
        </is>
      </c>
      <c r="S49" s="19" t="inlineStr">
        <is>
          <t>Example containing [ka-]</t>
        </is>
      </c>
      <c r="T49" s="19" t="inlineStr">
        <is>
          <t>উদাহরণস্বরূপ [মতো / যেমন]</t>
        </is>
      </c>
      <c r="U49" s="19" t="inlineStr">
        <is>
          <t>مثال برائے [جیسے / طرح]</t>
        </is>
      </c>
      <c r="V49" s="19" t="inlineStr">
        <is>
          <t>Contoh mengandung [ka-]</t>
        </is>
      </c>
      <c r="W49" s="19" t="inlineStr">
        <is>
          <t>Örnek [ka-]</t>
        </is>
      </c>
      <c r="X49" s="19" t="inlineStr">
        <is>
          <t>Exemple contenant [ka-]</t>
        </is>
      </c>
    </row>
    <row r="50" ht="25" customHeight="1">
      <c r="A50" s="9" t="n">
        <v>46</v>
      </c>
      <c r="B50" s="22" t="inlineStr">
        <is>
          <t>لِـ</t>
        </is>
      </c>
      <c r="C50" s="23" t="inlineStr">
        <is>
          <t>li-</t>
        </is>
      </c>
      <c r="D50" s="12" t="inlineStr">
        <is>
          <t>—</t>
        </is>
      </c>
      <c r="E50" s="12" t="inlineStr">
        <is>
          <t>Preposition Prefix</t>
        </is>
      </c>
      <c r="F50" s="24" t="n">
        <v>18</v>
      </c>
      <c r="G50" s="25">
        <f>F50/$F$178</f>
        <v/>
      </c>
      <c r="H50" s="25">
        <f>F50/77429</f>
        <v/>
      </c>
      <c r="I50" s="25">
        <f>I49+G50</f>
        <v/>
      </c>
      <c r="J50" s="12" t="inlineStr">
        <is>
          <t>for / because of / to</t>
        </is>
      </c>
      <c r="K50" s="12" t="inlineStr">
        <is>
          <t>জন্য / কারণে / দিকে</t>
        </is>
      </c>
      <c r="L50" s="12" t="inlineStr">
        <is>
          <t>لیے / واسطے</t>
        </is>
      </c>
      <c r="M50" s="12" t="inlineStr">
        <is>
          <t>untuk / bagi</t>
        </is>
      </c>
      <c r="N50" s="12" t="inlineStr">
        <is>
          <t>için / -e</t>
        </is>
      </c>
      <c r="O50" s="12" t="inlineStr">
        <is>
          <t>pour / à</t>
        </is>
      </c>
      <c r="P50" s="23" t="inlineStr">
        <is>
          <t>Standard Quranic sense.</t>
        </is>
      </c>
      <c r="Q50" s="12" t="inlineStr">
        <is>
          <t>Surah Ref</t>
        </is>
      </c>
      <c r="R50" s="22" t="inlineStr">
        <is>
          <t>【لِـ】</t>
        </is>
      </c>
      <c r="S50" s="12" t="inlineStr">
        <is>
          <t>Example containing [li-]</t>
        </is>
      </c>
      <c r="T50" s="12" t="inlineStr">
        <is>
          <t>উদাহরণস্বরূপ [জন্য / কারণে / দিকে]</t>
        </is>
      </c>
      <c r="U50" s="12" t="inlineStr">
        <is>
          <t>مثال برائے [لیے / واسطے]</t>
        </is>
      </c>
      <c r="V50" s="12" t="inlineStr">
        <is>
          <t>Contoh mengandung [li-]</t>
        </is>
      </c>
      <c r="W50" s="12" t="inlineStr">
        <is>
          <t>Örnek [li-]</t>
        </is>
      </c>
      <c r="X50" s="12" t="inlineStr">
        <is>
          <t>Exemple contenant [li-]</t>
        </is>
      </c>
    </row>
    <row r="51" ht="25" customHeight="1">
      <c r="A51" s="16" t="n">
        <v>47</v>
      </c>
      <c r="B51" s="17" t="inlineStr">
        <is>
          <t>بِـ</t>
        </is>
      </c>
      <c r="C51" s="18" t="inlineStr">
        <is>
          <t>bi-</t>
        </is>
      </c>
      <c r="D51" s="19" t="inlineStr">
        <is>
          <t>—</t>
        </is>
      </c>
      <c r="E51" s="19" t="inlineStr">
        <is>
          <t>Preposition Prefix</t>
        </is>
      </c>
      <c r="F51" s="20" t="n">
        <v>18</v>
      </c>
      <c r="G51" s="21">
        <f>F51/$F$178</f>
        <v/>
      </c>
      <c r="H51" s="21">
        <f>F51/77429</f>
        <v/>
      </c>
      <c r="I51" s="21">
        <f>I50+G51</f>
        <v/>
      </c>
      <c r="J51" s="19" t="inlineStr">
        <is>
          <t>with / by / in</t>
        </is>
      </c>
      <c r="K51" s="19" t="inlineStr">
        <is>
          <t>দিয়ে / দ্বারা / সাথে</t>
        </is>
      </c>
      <c r="L51" s="19" t="inlineStr">
        <is>
          <t>ساتھ / سے</t>
        </is>
      </c>
      <c r="M51" s="19" t="inlineStr">
        <is>
          <t>dengan / demi</t>
        </is>
      </c>
      <c r="N51" s="19" t="inlineStr">
        <is>
          <t>ile / -de</t>
        </is>
      </c>
      <c r="O51" s="19" t="inlineStr">
        <is>
          <t>avec / par</t>
        </is>
      </c>
      <c r="P51" s="18" t="inlineStr">
        <is>
          <t>Standard Quranic sense.</t>
        </is>
      </c>
      <c r="Q51" s="19" t="inlineStr">
        <is>
          <t>Surah Ref</t>
        </is>
      </c>
      <c r="R51" s="17" t="inlineStr">
        <is>
          <t>【بِـ】</t>
        </is>
      </c>
      <c r="S51" s="19" t="inlineStr">
        <is>
          <t>Example containing [bi-]</t>
        </is>
      </c>
      <c r="T51" s="19" t="inlineStr">
        <is>
          <t>উদাহরণস্বরূপ [দিয়ে / দ্বারা / সাথে]</t>
        </is>
      </c>
      <c r="U51" s="19" t="inlineStr">
        <is>
          <t>مثال برائے [ساتھ / سے]</t>
        </is>
      </c>
      <c r="V51" s="19" t="inlineStr">
        <is>
          <t>Contoh mengandung [bi-]</t>
        </is>
      </c>
      <c r="W51" s="19" t="inlineStr">
        <is>
          <t>Örnek [bi-]</t>
        </is>
      </c>
      <c r="X51" s="19" t="inlineStr">
        <is>
          <t>Exemple contenant [bi-]</t>
        </is>
      </c>
    </row>
    <row r="52" ht="25" customHeight="1">
      <c r="A52" s="9" t="n">
        <v>48</v>
      </c>
      <c r="B52" s="22" t="inlineStr">
        <is>
          <t>وَ</t>
        </is>
      </c>
      <c r="C52" s="23" t="inlineStr">
        <is>
          <t>wa-</t>
        </is>
      </c>
      <c r="D52" s="12" t="inlineStr">
        <is>
          <t>—</t>
        </is>
      </c>
      <c r="E52" s="12" t="inlineStr">
        <is>
          <t>Conjunction Prefix</t>
        </is>
      </c>
      <c r="F52" s="24" t="n">
        <v>8</v>
      </c>
      <c r="G52" s="25">
        <f>F52/$F$178</f>
        <v/>
      </c>
      <c r="H52" s="25">
        <f>F52/77429</f>
        <v/>
      </c>
      <c r="I52" s="25">
        <f>I51+G52</f>
        <v/>
      </c>
      <c r="J52" s="12" t="inlineStr">
        <is>
          <t>and</t>
        </is>
      </c>
      <c r="K52" s="12" t="inlineStr">
        <is>
          <t>এবং / ও</t>
        </is>
      </c>
      <c r="L52" s="12" t="inlineStr">
        <is>
          <t>اور</t>
        </is>
      </c>
      <c r="M52" s="12" t="inlineStr">
        <is>
          <t>dan</t>
        </is>
      </c>
      <c r="N52" s="12" t="inlineStr">
        <is>
          <t>ve</t>
        </is>
      </c>
      <c r="O52" s="12" t="inlineStr">
        <is>
          <t>et</t>
        </is>
      </c>
      <c r="P52" s="23" t="inlineStr">
        <is>
          <t>Standard Quranic sense.</t>
        </is>
      </c>
      <c r="Q52" s="12" t="inlineStr">
        <is>
          <t>Surah Ref</t>
        </is>
      </c>
      <c r="R52" s="22" t="inlineStr">
        <is>
          <t>【وَ】</t>
        </is>
      </c>
      <c r="S52" s="12" t="inlineStr">
        <is>
          <t>Example containing [wa-]</t>
        </is>
      </c>
      <c r="T52" s="12" t="inlineStr">
        <is>
          <t>উদাহরণস্বরূপ [এবং / ও]</t>
        </is>
      </c>
      <c r="U52" s="12" t="inlineStr">
        <is>
          <t>مثال برائے [اور]</t>
        </is>
      </c>
      <c r="V52" s="12" t="inlineStr">
        <is>
          <t>Contoh mengandung [wa-]</t>
        </is>
      </c>
      <c r="W52" s="12" t="inlineStr">
        <is>
          <t>Örnek [wa-]</t>
        </is>
      </c>
      <c r="X52" s="12" t="inlineStr">
        <is>
          <t>Exemple contenant [wa-]</t>
        </is>
      </c>
    </row>
    <row r="53" ht="25" customHeight="1">
      <c r="A53" s="16" t="n">
        <v>49</v>
      </c>
      <c r="B53" s="17" t="inlineStr">
        <is>
          <t>فَـ</t>
        </is>
      </c>
      <c r="C53" s="18" t="inlineStr">
        <is>
          <t>fa-</t>
        </is>
      </c>
      <c r="D53" s="19" t="inlineStr">
        <is>
          <t>—</t>
        </is>
      </c>
      <c r="E53" s="19" t="inlineStr">
        <is>
          <t>Resumption Prefix</t>
        </is>
      </c>
      <c r="F53" s="20" t="n">
        <v>8</v>
      </c>
      <c r="G53" s="21">
        <f>F53/$F$178</f>
        <v/>
      </c>
      <c r="H53" s="21">
        <f>F53/77429</f>
        <v/>
      </c>
      <c r="I53" s="21">
        <f>I52+G53</f>
        <v/>
      </c>
      <c r="J53" s="19" t="inlineStr">
        <is>
          <t>and then / so / thus</t>
        </is>
      </c>
      <c r="K53" s="19" t="inlineStr">
        <is>
          <t>অতএব / অতঃপর / সুতরাং</t>
        </is>
      </c>
      <c r="L53" s="19" t="inlineStr">
        <is>
          <t>پس / تو</t>
        </is>
      </c>
      <c r="M53" s="19" t="inlineStr">
        <is>
          <t>maka / lalu</t>
        </is>
      </c>
      <c r="N53" s="19" t="inlineStr">
        <is>
          <t>o halde / ve</t>
        </is>
      </c>
      <c r="O53" s="19" t="inlineStr">
        <is>
          <t>alors / donc</t>
        </is>
      </c>
      <c r="P53" s="18" t="inlineStr">
        <is>
          <t>Standard Quranic sense.</t>
        </is>
      </c>
      <c r="Q53" s="19" t="inlineStr">
        <is>
          <t>Surah Ref</t>
        </is>
      </c>
      <c r="R53" s="17" t="inlineStr">
        <is>
          <t>【فَـ】</t>
        </is>
      </c>
      <c r="S53" s="19" t="inlineStr">
        <is>
          <t>Example containing [fa-]</t>
        </is>
      </c>
      <c r="T53" s="19" t="inlineStr">
        <is>
          <t>উদাহরণস্বরূপ [অতএব / অতঃপর / সুতরাং]</t>
        </is>
      </c>
      <c r="U53" s="19" t="inlineStr">
        <is>
          <t>مثال برائے [پس / تو]</t>
        </is>
      </c>
      <c r="V53" s="19" t="inlineStr">
        <is>
          <t>Contoh mengandung [fa-]</t>
        </is>
      </c>
      <c r="W53" s="19" t="inlineStr">
        <is>
          <t>Örnek [fa-]</t>
        </is>
      </c>
      <c r="X53" s="19" t="inlineStr">
        <is>
          <t>Exemple contenant [fa-]</t>
        </is>
      </c>
    </row>
    <row r="54" ht="25" customHeight="1">
      <c r="A54" s="9" t="n">
        <v>50</v>
      </c>
      <c r="B54" s="22" t="inlineStr">
        <is>
          <t>سَـ</t>
        </is>
      </c>
      <c r="C54" s="23" t="inlineStr">
        <is>
          <t>sa-</t>
        </is>
      </c>
      <c r="D54" s="12" t="inlineStr">
        <is>
          <t>—</t>
        </is>
      </c>
      <c r="E54" s="12" t="inlineStr">
        <is>
          <t>Future Prefix</t>
        </is>
      </c>
      <c r="F54" s="24" t="n">
        <v>8</v>
      </c>
      <c r="G54" s="25">
        <f>F54/$F$178</f>
        <v/>
      </c>
      <c r="H54" s="25">
        <f>F54/77429</f>
        <v/>
      </c>
      <c r="I54" s="25">
        <f>I53+G54</f>
        <v/>
      </c>
      <c r="J54" s="12" t="inlineStr">
        <is>
          <t>will / shall (near future)</t>
        </is>
      </c>
      <c r="K54" s="12" t="inlineStr">
        <is>
          <t>শীঘ্রই (নিকট ভবিষ্যৎ)</t>
        </is>
      </c>
      <c r="L54" s="12" t="inlineStr">
        <is>
          <t>عنقریب</t>
        </is>
      </c>
      <c r="M54" s="12" t="inlineStr">
        <is>
          <t>akan / segera</t>
        </is>
      </c>
      <c r="N54" s="12" t="inlineStr">
        <is>
          <t>yakında</t>
        </is>
      </c>
      <c r="O54" s="12" t="inlineStr">
        <is>
          <t>bientôt</t>
        </is>
      </c>
      <c r="P54" s="23" t="inlineStr">
        <is>
          <t>Standard Quranic sense.</t>
        </is>
      </c>
      <c r="Q54" s="12" t="inlineStr">
        <is>
          <t>Surah Ref</t>
        </is>
      </c>
      <c r="R54" s="22" t="inlineStr">
        <is>
          <t>【سَـ】</t>
        </is>
      </c>
      <c r="S54" s="12" t="inlineStr">
        <is>
          <t>Example containing [sa-]</t>
        </is>
      </c>
      <c r="T54" s="12" t="inlineStr">
        <is>
          <t>উদাহরণস্বরূপ [শীঘ্রই (নিকট ভবিষ্যৎ)]</t>
        </is>
      </c>
      <c r="U54" s="12" t="inlineStr">
        <is>
          <t>مثال برائے [عنقریب]</t>
        </is>
      </c>
      <c r="V54" s="12" t="inlineStr">
        <is>
          <t>Contoh mengandung [sa-]</t>
        </is>
      </c>
      <c r="W54" s="12" t="inlineStr">
        <is>
          <t>Örnek [sa-]</t>
        </is>
      </c>
      <c r="X54" s="12" t="inlineStr">
        <is>
          <t>Exemple contenant [sa-]</t>
        </is>
      </c>
    </row>
    <row r="55" ht="25" customHeight="1">
      <c r="A55" s="16" t="n">
        <v>51</v>
      </c>
      <c r="B55" s="17" t="inlineStr">
        <is>
          <t>هِيَ</t>
        </is>
      </c>
      <c r="C55" s="18" t="inlineStr">
        <is>
          <t>hiya</t>
        </is>
      </c>
      <c r="D55" s="19" t="inlineStr">
        <is>
          <t>—</t>
        </is>
      </c>
      <c r="E55" s="19" t="inlineStr">
        <is>
          <t>Personal Pronoun (3rd Fem. Sg.)</t>
        </is>
      </c>
      <c r="F55" s="20" t="n">
        <v>8</v>
      </c>
      <c r="G55" s="21">
        <f>F55/$F$178</f>
        <v/>
      </c>
      <c r="H55" s="21">
        <f>F55/77429</f>
        <v/>
      </c>
      <c r="I55" s="21">
        <f>I54+G55</f>
        <v/>
      </c>
      <c r="J55" s="19" t="inlineStr">
        <is>
          <t>she / it</t>
        </is>
      </c>
      <c r="K55" s="19" t="inlineStr">
        <is>
          <t>সে / তিনি (স্ত্রী)</t>
        </is>
      </c>
      <c r="L55" s="19" t="inlineStr">
        <is>
          <t>وہ (مونث)</t>
        </is>
      </c>
      <c r="M55" s="19" t="inlineStr">
        <is>
          <t>dia (perempuan)</t>
        </is>
      </c>
      <c r="N55" s="19" t="inlineStr">
        <is>
          <t>o (dişi)</t>
        </is>
      </c>
      <c r="O55" s="19" t="inlineStr">
        <is>
          <t>elle</t>
        </is>
      </c>
      <c r="P55" s="18" t="inlineStr">
        <is>
          <t>Standard Quranic sense.</t>
        </is>
      </c>
      <c r="Q55" s="19" t="inlineStr">
        <is>
          <t>Surah Ref</t>
        </is>
      </c>
      <c r="R55" s="17" t="inlineStr">
        <is>
          <t>【هِيَ】</t>
        </is>
      </c>
      <c r="S55" s="19" t="inlineStr">
        <is>
          <t>Example containing [hiya]</t>
        </is>
      </c>
      <c r="T55" s="19" t="inlineStr">
        <is>
          <t>উদাহরণস্বরূপ [সে / তিনি (স্ত্রী)]</t>
        </is>
      </c>
      <c r="U55" s="19" t="inlineStr">
        <is>
          <t>مثال برائے [وہ (مونث)]</t>
        </is>
      </c>
      <c r="V55" s="19" t="inlineStr">
        <is>
          <t>Contoh mengandung [hiya]</t>
        </is>
      </c>
      <c r="W55" s="19" t="inlineStr">
        <is>
          <t>Örnek [hiya]</t>
        </is>
      </c>
      <c r="X55" s="19" t="inlineStr">
        <is>
          <t>Exemple contenant [hiya]</t>
        </is>
      </c>
    </row>
    <row r="56" ht="25" customHeight="1">
      <c r="A56" s="9" t="n">
        <v>52</v>
      </c>
      <c r="B56" s="22" t="inlineStr">
        <is>
          <t>هُنَّ</t>
        </is>
      </c>
      <c r="C56" s="23" t="inlineStr">
        <is>
          <t>hunna</t>
        </is>
      </c>
      <c r="D56" s="12" t="inlineStr">
        <is>
          <t>—</t>
        </is>
      </c>
      <c r="E56" s="12" t="inlineStr">
        <is>
          <t>Personal Pronoun (3rd Fem. Pl.)</t>
        </is>
      </c>
      <c r="F56" s="24" t="n">
        <v>8</v>
      </c>
      <c r="G56" s="25">
        <f>F56/$F$178</f>
        <v/>
      </c>
      <c r="H56" s="25">
        <f>F56/77429</f>
        <v/>
      </c>
      <c r="I56" s="25">
        <f>I55+G56</f>
        <v/>
      </c>
      <c r="J56" s="12" t="inlineStr">
        <is>
          <t>they (feminine)</t>
        </is>
      </c>
      <c r="K56" s="12" t="inlineStr">
        <is>
          <t>তাহারা (স্ত্রী)</t>
        </is>
      </c>
      <c r="L56" s="12" t="inlineStr">
        <is>
          <t>وہ سب (مونث)</t>
        </is>
      </c>
      <c r="M56" s="12" t="inlineStr">
        <is>
          <t>mereka (perempuan)</t>
        </is>
      </c>
      <c r="N56" s="12" t="inlineStr">
        <is>
          <t>onlar (dişi)</t>
        </is>
      </c>
      <c r="O56" s="12" t="inlineStr">
        <is>
          <t>elles</t>
        </is>
      </c>
      <c r="P56" s="23" t="inlineStr">
        <is>
          <t>Standard Quranic sense.</t>
        </is>
      </c>
      <c r="Q56" s="12" t="inlineStr">
        <is>
          <t>Surah Ref</t>
        </is>
      </c>
      <c r="R56" s="22" t="inlineStr">
        <is>
          <t>【هُنَّ】</t>
        </is>
      </c>
      <c r="S56" s="12" t="inlineStr">
        <is>
          <t>Example containing [hunna]</t>
        </is>
      </c>
      <c r="T56" s="12" t="inlineStr">
        <is>
          <t>উদাহরণস্বরূপ [তাহারা (স্ত্রী)]</t>
        </is>
      </c>
      <c r="U56" s="12" t="inlineStr">
        <is>
          <t>مثال برائے [وہ سب (مونث)]</t>
        </is>
      </c>
      <c r="V56" s="12" t="inlineStr">
        <is>
          <t>Contoh mengandung [hunna]</t>
        </is>
      </c>
      <c r="W56" s="12" t="inlineStr">
        <is>
          <t>Örnek [hunna]</t>
        </is>
      </c>
      <c r="X56" s="12" t="inlineStr">
        <is>
          <t>Exemple contenant [hunna]</t>
        </is>
      </c>
    </row>
    <row r="57" ht="25" customHeight="1">
      <c r="A57" s="16" t="n">
        <v>53</v>
      </c>
      <c r="B57" s="17" t="inlineStr">
        <is>
          <t>هُمَا</t>
        </is>
      </c>
      <c r="C57" s="18" t="inlineStr">
        <is>
          <t>humā</t>
        </is>
      </c>
      <c r="D57" s="19" t="inlineStr">
        <is>
          <t>—</t>
        </is>
      </c>
      <c r="E57" s="19" t="inlineStr">
        <is>
          <t>Personal Pronoun (3rd Dual)</t>
        </is>
      </c>
      <c r="F57" s="20" t="n">
        <v>8</v>
      </c>
      <c r="G57" s="21">
        <f>F57/$F$178</f>
        <v/>
      </c>
      <c r="H57" s="21">
        <f>F57/77429</f>
        <v/>
      </c>
      <c r="I57" s="21">
        <f>I56+G57</f>
        <v/>
      </c>
      <c r="J57" s="19" t="inlineStr">
        <is>
          <t>they both (dual)</t>
        </is>
      </c>
      <c r="K57" s="19" t="inlineStr">
        <is>
          <t>তারা উভয়</t>
        </is>
      </c>
      <c r="L57" s="19" t="inlineStr">
        <is>
          <t>وہ دونوں</t>
        </is>
      </c>
      <c r="M57" s="19" t="inlineStr">
        <is>
          <t>mereka berdua</t>
        </is>
      </c>
      <c r="N57" s="19" t="inlineStr">
        <is>
          <t>o ikisi</t>
        </is>
      </c>
      <c r="O57" s="19" t="inlineStr">
        <is>
          <t>eux deux</t>
        </is>
      </c>
      <c r="P57" s="18" t="inlineStr">
        <is>
          <t>Standard Quranic sense.</t>
        </is>
      </c>
      <c r="Q57" s="19" t="inlineStr">
        <is>
          <t>Surah Ref</t>
        </is>
      </c>
      <c r="R57" s="17" t="inlineStr">
        <is>
          <t>【هُمَا】</t>
        </is>
      </c>
      <c r="S57" s="19" t="inlineStr">
        <is>
          <t>Example containing [humā]</t>
        </is>
      </c>
      <c r="T57" s="19" t="inlineStr">
        <is>
          <t>উদাহরণস্বরূপ [তারা উভয়]</t>
        </is>
      </c>
      <c r="U57" s="19" t="inlineStr">
        <is>
          <t>مثال برائے [وہ دونوں]</t>
        </is>
      </c>
      <c r="V57" s="19" t="inlineStr">
        <is>
          <t>Contoh mengandung [humā]</t>
        </is>
      </c>
      <c r="W57" s="19" t="inlineStr">
        <is>
          <t>Örnek [humā]</t>
        </is>
      </c>
      <c r="X57" s="19" t="inlineStr">
        <is>
          <t>Exemple contenant [humā]</t>
        </is>
      </c>
    </row>
    <row r="58" ht="25" customHeight="1">
      <c r="A58" s="9" t="n">
        <v>54</v>
      </c>
      <c r="B58" s="22" t="inlineStr">
        <is>
          <t>أَنْتَ</t>
        </is>
      </c>
      <c r="C58" s="23" t="inlineStr">
        <is>
          <t>anta</t>
        </is>
      </c>
      <c r="D58" s="12" t="inlineStr">
        <is>
          <t>—</t>
        </is>
      </c>
      <c r="E58" s="12" t="inlineStr">
        <is>
          <t>Personal Pronoun (2nd Masc. Sg.)</t>
        </is>
      </c>
      <c r="F58" s="24" t="n">
        <v>8</v>
      </c>
      <c r="G58" s="25">
        <f>F58/$F$178</f>
        <v/>
      </c>
      <c r="H58" s="25">
        <f>F58/77429</f>
        <v/>
      </c>
      <c r="I58" s="25">
        <f>I57+G58</f>
        <v/>
      </c>
      <c r="J58" s="12" t="inlineStr">
        <is>
          <t>you (singular)</t>
        </is>
      </c>
      <c r="K58" s="12" t="inlineStr">
        <is>
          <t>তুমি / আপনি</t>
        </is>
      </c>
      <c r="L58" s="12" t="inlineStr">
        <is>
          <t>تم / آپ</t>
        </is>
      </c>
      <c r="M58" s="12" t="inlineStr">
        <is>
          <t>kamu (laki-laki)</t>
        </is>
      </c>
      <c r="N58" s="12" t="inlineStr">
        <is>
          <t>sen</t>
        </is>
      </c>
      <c r="O58" s="12" t="inlineStr">
        <is>
          <t>tu</t>
        </is>
      </c>
      <c r="P58" s="23" t="inlineStr">
        <is>
          <t>Standard Quranic sense.</t>
        </is>
      </c>
      <c r="Q58" s="12" t="inlineStr">
        <is>
          <t>Surah Ref</t>
        </is>
      </c>
      <c r="R58" s="22" t="inlineStr">
        <is>
          <t>【أَنْتَ】</t>
        </is>
      </c>
      <c r="S58" s="12" t="inlineStr">
        <is>
          <t>Example containing [anta]</t>
        </is>
      </c>
      <c r="T58" s="12" t="inlineStr">
        <is>
          <t>উদাহরণস্বরূপ [তুমি / আপনি]</t>
        </is>
      </c>
      <c r="U58" s="12" t="inlineStr">
        <is>
          <t>مثال برائے [تم / آپ]</t>
        </is>
      </c>
      <c r="V58" s="12" t="inlineStr">
        <is>
          <t>Contoh mengandung [anta]</t>
        </is>
      </c>
      <c r="W58" s="12" t="inlineStr">
        <is>
          <t>Örnek [anta]</t>
        </is>
      </c>
      <c r="X58" s="12" t="inlineStr">
        <is>
          <t>Exemple contenant [anta]</t>
        </is>
      </c>
    </row>
    <row r="59" ht="25" customHeight="1">
      <c r="A59" s="16" t="n">
        <v>55</v>
      </c>
      <c r="B59" s="17" t="inlineStr">
        <is>
          <t>أَنْتُمْ</t>
        </is>
      </c>
      <c r="C59" s="18" t="inlineStr">
        <is>
          <t>antum</t>
        </is>
      </c>
      <c r="D59" s="19" t="inlineStr">
        <is>
          <t>—</t>
        </is>
      </c>
      <c r="E59" s="19" t="inlineStr">
        <is>
          <t>Personal Pronoun (2nd Masc. Pl.)</t>
        </is>
      </c>
      <c r="F59" s="20" t="n">
        <v>8</v>
      </c>
      <c r="G59" s="21">
        <f>F59/$F$178</f>
        <v/>
      </c>
      <c r="H59" s="21">
        <f>F59/77429</f>
        <v/>
      </c>
      <c r="I59" s="21">
        <f>I58+G59</f>
        <v/>
      </c>
      <c r="J59" s="19" t="inlineStr">
        <is>
          <t>you (plural)</t>
        </is>
      </c>
      <c r="K59" s="19" t="inlineStr">
        <is>
          <t>তোমরা / আপনারা</t>
        </is>
      </c>
      <c r="L59" s="19" t="inlineStr">
        <is>
          <t>تم سب</t>
        </is>
      </c>
      <c r="M59" s="19" t="inlineStr">
        <is>
          <t>kamu sekalian</t>
        </is>
      </c>
      <c r="N59" s="19" t="inlineStr">
        <is>
          <t>siz</t>
        </is>
      </c>
      <c r="O59" s="19" t="inlineStr">
        <is>
          <t>vous</t>
        </is>
      </c>
      <c r="P59" s="18" t="inlineStr">
        <is>
          <t>Standard Quranic sense.</t>
        </is>
      </c>
      <c r="Q59" s="19" t="inlineStr">
        <is>
          <t>Surah Ref</t>
        </is>
      </c>
      <c r="R59" s="17" t="inlineStr">
        <is>
          <t>【أَنْتُمْ】</t>
        </is>
      </c>
      <c r="S59" s="19" t="inlineStr">
        <is>
          <t>Example containing [antum]</t>
        </is>
      </c>
      <c r="T59" s="19" t="inlineStr">
        <is>
          <t>উদাহরণস্বরূপ [তোমরা / আপনারা]</t>
        </is>
      </c>
      <c r="U59" s="19" t="inlineStr">
        <is>
          <t>مثال برائے [تم سب]</t>
        </is>
      </c>
      <c r="V59" s="19" t="inlineStr">
        <is>
          <t>Contoh mengandung [antum]</t>
        </is>
      </c>
      <c r="W59" s="19" t="inlineStr">
        <is>
          <t>Örnek [antum]</t>
        </is>
      </c>
      <c r="X59" s="19" t="inlineStr">
        <is>
          <t>Exemple contenant [antum]</t>
        </is>
      </c>
    </row>
    <row r="60" ht="25" customHeight="1">
      <c r="A60" s="9" t="n">
        <v>56</v>
      </c>
      <c r="B60" s="22" t="inlineStr">
        <is>
          <t>أَنْتُنَّ</t>
        </is>
      </c>
      <c r="C60" s="23" t="inlineStr">
        <is>
          <t>antunna</t>
        </is>
      </c>
      <c r="D60" s="12" t="inlineStr">
        <is>
          <t>—</t>
        </is>
      </c>
      <c r="E60" s="12" t="inlineStr">
        <is>
          <t>Personal Pronoun (2nd Fem. Pl.)</t>
        </is>
      </c>
      <c r="F60" s="24" t="n">
        <v>8</v>
      </c>
      <c r="G60" s="25">
        <f>F60/$F$178</f>
        <v/>
      </c>
      <c r="H60" s="25">
        <f>F60/77429</f>
        <v/>
      </c>
      <c r="I60" s="25">
        <f>I59+G60</f>
        <v/>
      </c>
      <c r="J60" s="12" t="inlineStr">
        <is>
          <t>you all (feminine plural)</t>
        </is>
      </c>
      <c r="K60" s="12" t="inlineStr">
        <is>
          <t>তোমরা (স্ত্রী)</t>
        </is>
      </c>
      <c r="L60" s="12" t="inlineStr">
        <is>
          <t>تم سب (مونث)</t>
        </is>
      </c>
      <c r="M60" s="12" t="inlineStr">
        <is>
          <t>kamu sekalian (perempuan)</t>
        </is>
      </c>
      <c r="N60" s="12" t="inlineStr">
        <is>
          <t>sizler (dişi)</t>
        </is>
      </c>
      <c r="O60" s="12" t="inlineStr">
        <is>
          <t>vous toutes</t>
        </is>
      </c>
      <c r="P60" s="23" t="inlineStr">
        <is>
          <t>Standard Quranic sense.</t>
        </is>
      </c>
      <c r="Q60" s="12" t="inlineStr">
        <is>
          <t>Surah Ref</t>
        </is>
      </c>
      <c r="R60" s="22" t="inlineStr">
        <is>
          <t>【أَنْتُنَّ】</t>
        </is>
      </c>
      <c r="S60" s="12" t="inlineStr">
        <is>
          <t>Example containing [antunna]</t>
        </is>
      </c>
      <c r="T60" s="12" t="inlineStr">
        <is>
          <t>উদাহরণস্বরূপ [তোমরা (স্ত্রী)]</t>
        </is>
      </c>
      <c r="U60" s="12" t="inlineStr">
        <is>
          <t>مثال برائے [تم سب (مونث)]</t>
        </is>
      </c>
      <c r="V60" s="12" t="inlineStr">
        <is>
          <t>Contoh mengandung [antunna]</t>
        </is>
      </c>
      <c r="W60" s="12" t="inlineStr">
        <is>
          <t>Örnek [antunna]</t>
        </is>
      </c>
      <c r="X60" s="12" t="inlineStr">
        <is>
          <t>Exemple contenant [antunna]</t>
        </is>
      </c>
    </row>
    <row r="61" ht="25" customHeight="1">
      <c r="A61" s="16" t="n">
        <v>57</v>
      </c>
      <c r="B61" s="17" t="inlineStr">
        <is>
          <t>أَنَا</t>
        </is>
      </c>
      <c r="C61" s="18" t="inlineStr">
        <is>
          <t>anā</t>
        </is>
      </c>
      <c r="D61" s="19" t="inlineStr">
        <is>
          <t>—</t>
        </is>
      </c>
      <c r="E61" s="19" t="inlineStr">
        <is>
          <t>Personal Pronoun (1st Sg.)</t>
        </is>
      </c>
      <c r="F61" s="20" t="n">
        <v>8</v>
      </c>
      <c r="G61" s="21">
        <f>F61/$F$178</f>
        <v/>
      </c>
      <c r="H61" s="21">
        <f>F61/77429</f>
        <v/>
      </c>
      <c r="I61" s="21">
        <f>I60+G61</f>
        <v/>
      </c>
      <c r="J61" s="19" t="inlineStr">
        <is>
          <t>I</t>
        </is>
      </c>
      <c r="K61" s="19" t="inlineStr">
        <is>
          <t>আমি</t>
        </is>
      </c>
      <c r="L61" s="19" t="inlineStr">
        <is>
          <t>میں</t>
        </is>
      </c>
      <c r="M61" s="19" t="inlineStr">
        <is>
          <t>aku / saya</t>
        </is>
      </c>
      <c r="N61" s="19" t="inlineStr">
        <is>
          <t>ben</t>
        </is>
      </c>
      <c r="O61" s="19" t="inlineStr">
        <is>
          <t>je / moi</t>
        </is>
      </c>
      <c r="P61" s="18" t="inlineStr">
        <is>
          <t>Standard Quranic sense.</t>
        </is>
      </c>
      <c r="Q61" s="19" t="inlineStr">
        <is>
          <t>Surah Ref</t>
        </is>
      </c>
      <c r="R61" s="17" t="inlineStr">
        <is>
          <t>【أَنَا】</t>
        </is>
      </c>
      <c r="S61" s="19" t="inlineStr">
        <is>
          <t>Example containing [anā]</t>
        </is>
      </c>
      <c r="T61" s="19" t="inlineStr">
        <is>
          <t>উদাহরণস্বরূপ [আমি]</t>
        </is>
      </c>
      <c r="U61" s="19" t="inlineStr">
        <is>
          <t>مثال برائے [میں]</t>
        </is>
      </c>
      <c r="V61" s="19" t="inlineStr">
        <is>
          <t>Contoh mengandung [anā]</t>
        </is>
      </c>
      <c r="W61" s="19" t="inlineStr">
        <is>
          <t>Örnek [anā]</t>
        </is>
      </c>
      <c r="X61" s="19" t="inlineStr">
        <is>
          <t>Exemple contenant [anā]</t>
        </is>
      </c>
    </row>
    <row r="62" ht="25" customHeight="1">
      <c r="A62" s="9" t="n">
        <v>58</v>
      </c>
      <c r="B62" s="22" t="inlineStr">
        <is>
          <t>نَحْنُ</t>
        </is>
      </c>
      <c r="C62" s="23" t="inlineStr">
        <is>
          <t>naḥnu</t>
        </is>
      </c>
      <c r="D62" s="12" t="inlineStr">
        <is>
          <t>—</t>
        </is>
      </c>
      <c r="E62" s="12" t="inlineStr">
        <is>
          <t>Personal Pronoun (1st Pl.)</t>
        </is>
      </c>
      <c r="F62" s="24" t="n">
        <v>8</v>
      </c>
      <c r="G62" s="25">
        <f>F62/$F$178</f>
        <v/>
      </c>
      <c r="H62" s="25">
        <f>F62/77429</f>
        <v/>
      </c>
      <c r="I62" s="25">
        <f>I61+G62</f>
        <v/>
      </c>
      <c r="J62" s="12" t="inlineStr">
        <is>
          <t>we</t>
        </is>
      </c>
      <c r="K62" s="12" t="inlineStr">
        <is>
          <t>আমরা</t>
        </is>
      </c>
      <c r="L62" s="12" t="inlineStr">
        <is>
          <t>ہم</t>
        </is>
      </c>
      <c r="M62" s="12" t="inlineStr">
        <is>
          <t>kami / mari</t>
        </is>
      </c>
      <c r="N62" s="12" t="inlineStr">
        <is>
          <t>biz</t>
        </is>
      </c>
      <c r="O62" s="12" t="inlineStr">
        <is>
          <t>nous</t>
        </is>
      </c>
      <c r="P62" s="23" t="inlineStr">
        <is>
          <t>Standard Quranic sense.</t>
        </is>
      </c>
      <c r="Q62" s="12" t="inlineStr">
        <is>
          <t>Surah Ref</t>
        </is>
      </c>
      <c r="R62" s="22" t="inlineStr">
        <is>
          <t>【نَحْنُ】</t>
        </is>
      </c>
      <c r="S62" s="12" t="inlineStr">
        <is>
          <t>Example containing [naḥnu]</t>
        </is>
      </c>
      <c r="T62" s="12" t="inlineStr">
        <is>
          <t>উদাহরণস্বরূপ [আমরা]</t>
        </is>
      </c>
      <c r="U62" s="12" t="inlineStr">
        <is>
          <t>مثال برائے [ہم]</t>
        </is>
      </c>
      <c r="V62" s="12" t="inlineStr">
        <is>
          <t>Contoh mengandung [naḥnu]</t>
        </is>
      </c>
      <c r="W62" s="12" t="inlineStr">
        <is>
          <t>Örnek [naḥnu]</t>
        </is>
      </c>
      <c r="X62" s="12" t="inlineStr">
        <is>
          <t>Exemple contenant [naḥnu]</t>
        </is>
      </c>
    </row>
    <row r="63" ht="25" customHeight="1">
      <c r="A63" s="16" t="n">
        <v>59</v>
      </c>
      <c r="B63" s="17" t="inlineStr">
        <is>
          <t>هَٰذِهِ</t>
        </is>
      </c>
      <c r="C63" s="18" t="inlineStr">
        <is>
          <t>hādhī</t>
        </is>
      </c>
      <c r="D63" s="19" t="inlineStr">
        <is>
          <t>—</t>
        </is>
      </c>
      <c r="E63" s="19" t="inlineStr">
        <is>
          <t>Demonstrative Pronoun (Fem. Sg.)</t>
        </is>
      </c>
      <c r="F63" s="20" t="n">
        <v>8</v>
      </c>
      <c r="G63" s="21">
        <f>F63/$F$178</f>
        <v/>
      </c>
      <c r="H63" s="21">
        <f>F63/77429</f>
        <v/>
      </c>
      <c r="I63" s="21">
        <f>I62+G63</f>
        <v/>
      </c>
      <c r="J63" s="19" t="inlineStr">
        <is>
          <t>this (feminine)</t>
        </is>
      </c>
      <c r="K63" s="19" t="inlineStr">
        <is>
          <t>ইহা / এইটি (স্ত্রী)</t>
        </is>
      </c>
      <c r="L63" s="19" t="inlineStr">
        <is>
          <t>یہ (مونث)</t>
        </is>
      </c>
      <c r="M63" s="19" t="inlineStr">
        <is>
          <t>ini (perempuan)</t>
        </is>
      </c>
      <c r="N63" s="19" t="inlineStr">
        <is>
          <t>bu (dişi)</t>
        </is>
      </c>
      <c r="O63" s="19" t="inlineStr">
        <is>
          <t>ceci</t>
        </is>
      </c>
      <c r="P63" s="18" t="inlineStr">
        <is>
          <t>Standard Quranic sense.</t>
        </is>
      </c>
      <c r="Q63" s="19" t="inlineStr">
        <is>
          <t>Surah Ref</t>
        </is>
      </c>
      <c r="R63" s="17" t="inlineStr">
        <is>
          <t>【هَٰذِهِ】</t>
        </is>
      </c>
      <c r="S63" s="19" t="inlineStr">
        <is>
          <t>Example containing [hādhī]</t>
        </is>
      </c>
      <c r="T63" s="19" t="inlineStr">
        <is>
          <t>উদাহরণস্বরূপ [ইহা / এইটি (স্ত্রী)]</t>
        </is>
      </c>
      <c r="U63" s="19" t="inlineStr">
        <is>
          <t>مثال برائے [یہ (مونث)]</t>
        </is>
      </c>
      <c r="V63" s="19" t="inlineStr">
        <is>
          <t>Contoh mengandung [hādhī]</t>
        </is>
      </c>
      <c r="W63" s="19" t="inlineStr">
        <is>
          <t>Örnek [hādhī]</t>
        </is>
      </c>
      <c r="X63" s="19" t="inlineStr">
        <is>
          <t>Exemple contenant [hādhī]</t>
        </is>
      </c>
    </row>
    <row r="64" ht="25" customHeight="1">
      <c r="A64" s="9" t="n">
        <v>60</v>
      </c>
      <c r="B64" s="22" t="inlineStr">
        <is>
          <t>هَٰؤُلَاءِ</t>
        </is>
      </c>
      <c r="C64" s="23" t="inlineStr">
        <is>
          <t>hāʾulāʾi</t>
        </is>
      </c>
      <c r="D64" s="12" t="inlineStr">
        <is>
          <t>—</t>
        </is>
      </c>
      <c r="E64" s="12" t="inlineStr">
        <is>
          <t>Demonstrative Pronoun (Plural)</t>
        </is>
      </c>
      <c r="F64" s="24" t="n">
        <v>8</v>
      </c>
      <c r="G64" s="25">
        <f>F64/$F$178</f>
        <v/>
      </c>
      <c r="H64" s="25">
        <f>F64/77429</f>
        <v/>
      </c>
      <c r="I64" s="25">
        <f>I63+G64</f>
        <v/>
      </c>
      <c r="J64" s="12" t="inlineStr">
        <is>
          <t>these</t>
        </is>
      </c>
      <c r="K64" s="12" t="inlineStr">
        <is>
          <t>ইহারা / এই সব</t>
        </is>
      </c>
      <c r="L64" s="12" t="inlineStr">
        <is>
          <t>یہ سب</t>
        </is>
      </c>
      <c r="M64" s="12" t="inlineStr">
        <is>
          <t>mereka ini</t>
        </is>
      </c>
      <c r="N64" s="12" t="inlineStr">
        <is>
          <t>bunlar</t>
        </is>
      </c>
      <c r="O64" s="12" t="inlineStr">
        <is>
          <t>ceux-ci</t>
        </is>
      </c>
      <c r="P64" s="23" t="inlineStr">
        <is>
          <t>Standard Quranic sense.</t>
        </is>
      </c>
      <c r="Q64" s="12" t="inlineStr">
        <is>
          <t>Surah Ref</t>
        </is>
      </c>
      <c r="R64" s="22" t="inlineStr">
        <is>
          <t>【هَٰؤُلَاءِ】</t>
        </is>
      </c>
      <c r="S64" s="12" t="inlineStr">
        <is>
          <t>Example containing [hāʾulāʾi]</t>
        </is>
      </c>
      <c r="T64" s="12" t="inlineStr">
        <is>
          <t>উদাহরণস্বরূপ [ইহারা / এই সব]</t>
        </is>
      </c>
      <c r="U64" s="12" t="inlineStr">
        <is>
          <t>مثال برائے [یہ سب]</t>
        </is>
      </c>
      <c r="V64" s="12" t="inlineStr">
        <is>
          <t>Contoh mengandung [hāʾulāʾi]</t>
        </is>
      </c>
      <c r="W64" s="12" t="inlineStr">
        <is>
          <t>Örnek [hāʾulāʾi]</t>
        </is>
      </c>
      <c r="X64" s="12" t="inlineStr">
        <is>
          <t>Exemple contenant [hāʾulāʾi]</t>
        </is>
      </c>
    </row>
    <row r="65" ht="25" customHeight="1">
      <c r="A65" s="16" t="n">
        <v>61</v>
      </c>
      <c r="B65" s="17" t="inlineStr">
        <is>
          <t>تِلْكَ</t>
        </is>
      </c>
      <c r="C65" s="18" t="inlineStr">
        <is>
          <t>tilka</t>
        </is>
      </c>
      <c r="D65" s="19" t="inlineStr">
        <is>
          <t>—</t>
        </is>
      </c>
      <c r="E65" s="19" t="inlineStr">
        <is>
          <t>Demonstrative Pronoun (Fem. Sg.)</t>
        </is>
      </c>
      <c r="F65" s="20" t="n">
        <v>8</v>
      </c>
      <c r="G65" s="21">
        <f>F65/$F$178</f>
        <v/>
      </c>
      <c r="H65" s="21">
        <f>F65/77429</f>
        <v/>
      </c>
      <c r="I65" s="21">
        <f>I64+G65</f>
        <v/>
      </c>
      <c r="J65" s="19" t="inlineStr">
        <is>
          <t>that (feminine)</t>
        </is>
      </c>
      <c r="K65" s="19" t="inlineStr">
        <is>
          <t>ঐটি / সেইটি (স্ত্রী)</t>
        </is>
      </c>
      <c r="L65" s="19" t="inlineStr">
        <is>
          <t>وہ (مونث)</t>
        </is>
      </c>
      <c r="M65" s="19" t="inlineStr">
        <is>
          <t>itu (perempuan)</t>
        </is>
      </c>
      <c r="N65" s="19" t="inlineStr">
        <is>
          <t>şu / o (dişi)</t>
        </is>
      </c>
      <c r="O65" s="19" t="inlineStr">
        <is>
          <t>cela</t>
        </is>
      </c>
      <c r="P65" s="18" t="inlineStr">
        <is>
          <t>Standard Quranic sense.</t>
        </is>
      </c>
      <c r="Q65" s="19" t="inlineStr">
        <is>
          <t>Surah Ref</t>
        </is>
      </c>
      <c r="R65" s="17" t="inlineStr">
        <is>
          <t>【تِلْكَ】</t>
        </is>
      </c>
      <c r="S65" s="19" t="inlineStr">
        <is>
          <t>Example containing [tilka]</t>
        </is>
      </c>
      <c r="T65" s="19" t="inlineStr">
        <is>
          <t>উদাহরণস্বরূপ [ঐটি / সেইটি (স্ত্রী)]</t>
        </is>
      </c>
      <c r="U65" s="19" t="inlineStr">
        <is>
          <t>مثال برائے [وہ (مونث)]</t>
        </is>
      </c>
      <c r="V65" s="19" t="inlineStr">
        <is>
          <t>Contoh mengandung [tilka]</t>
        </is>
      </c>
      <c r="W65" s="19" t="inlineStr">
        <is>
          <t>Örnek [tilka]</t>
        </is>
      </c>
      <c r="X65" s="19" t="inlineStr">
        <is>
          <t>Exemple contenant [tilka]</t>
        </is>
      </c>
    </row>
    <row r="66" ht="25" customHeight="1">
      <c r="A66" s="9" t="n">
        <v>62</v>
      </c>
      <c r="B66" s="22" t="inlineStr">
        <is>
          <t>ذَٰلِكُمْ</t>
        </is>
      </c>
      <c r="C66" s="23" t="inlineStr">
        <is>
          <t>dhālikum</t>
        </is>
      </c>
      <c r="D66" s="12" t="inlineStr">
        <is>
          <t>—</t>
        </is>
      </c>
      <c r="E66" s="12" t="inlineStr">
        <is>
          <t>Demonstrative Pronoun (Masc. Pl.)</t>
        </is>
      </c>
      <c r="F66" s="24" t="n">
        <v>8</v>
      </c>
      <c r="G66" s="25">
        <f>F66/$F$178</f>
        <v/>
      </c>
      <c r="H66" s="25">
        <f>F66/77429</f>
        <v/>
      </c>
      <c r="I66" s="25">
        <f>I65+G66</f>
        <v/>
      </c>
      <c r="J66" s="12" t="inlineStr">
        <is>
          <t>that of yours / those</t>
        </is>
      </c>
      <c r="K66" s="12" t="inlineStr">
        <is>
          <t>তোমাদের ঐটি / সেই সব</t>
        </is>
      </c>
      <c r="L66" s="12" t="inlineStr">
        <is>
          <t>وہ تمہارا</t>
        </is>
      </c>
      <c r="M66" s="12" t="inlineStr">
        <is>
          <t>itu sekalian</t>
        </is>
      </c>
      <c r="N66" s="12" t="inlineStr">
        <is>
          <t>bu size ait</t>
        </is>
      </c>
      <c r="O66" s="12" t="inlineStr">
        <is>
          <t>voilà / cela</t>
        </is>
      </c>
      <c r="P66" s="23" t="inlineStr">
        <is>
          <t>Standard Quranic sense.</t>
        </is>
      </c>
      <c r="Q66" s="12" t="inlineStr">
        <is>
          <t>Surah Ref</t>
        </is>
      </c>
      <c r="R66" s="22" t="inlineStr">
        <is>
          <t>【ذَٰلِكُمْ】</t>
        </is>
      </c>
      <c r="S66" s="12" t="inlineStr">
        <is>
          <t>Example containing [dhālikum]</t>
        </is>
      </c>
      <c r="T66" s="12" t="inlineStr">
        <is>
          <t>উদাহরণস্বরূপ [তোমাদের ঐটি / সেই সব]</t>
        </is>
      </c>
      <c r="U66" s="12" t="inlineStr">
        <is>
          <t>مثال برائے [وہ تمہارا]</t>
        </is>
      </c>
      <c r="V66" s="12" t="inlineStr">
        <is>
          <t>Contoh mengandung [dhālikum]</t>
        </is>
      </c>
      <c r="W66" s="12" t="inlineStr">
        <is>
          <t>Örnek [dhālikum]</t>
        </is>
      </c>
      <c r="X66" s="12" t="inlineStr">
        <is>
          <t>Exemple contenant [dhālikum]</t>
        </is>
      </c>
    </row>
    <row r="67" ht="25" customHeight="1">
      <c r="A67" s="16" t="n">
        <v>63</v>
      </c>
      <c r="B67" s="17" t="inlineStr">
        <is>
          <t>الَّذِينَ</t>
        </is>
      </c>
      <c r="C67" s="18" t="inlineStr">
        <is>
          <t>alladhīna</t>
        </is>
      </c>
      <c r="D67" s="19" t="inlineStr">
        <is>
          <t>—</t>
        </is>
      </c>
      <c r="E67" s="19" t="inlineStr">
        <is>
          <t>Relative Pronoun (Masc. Pl.)</t>
        </is>
      </c>
      <c r="F67" s="20" t="n">
        <v>8</v>
      </c>
      <c r="G67" s="21">
        <f>F67/$F$178</f>
        <v/>
      </c>
      <c r="H67" s="21">
        <f>F67/77429</f>
        <v/>
      </c>
      <c r="I67" s="21">
        <f>I66+G67</f>
        <v/>
      </c>
      <c r="J67" s="19" t="inlineStr">
        <is>
          <t>those who</t>
        </is>
      </c>
      <c r="K67" s="19" t="inlineStr">
        <is>
          <t>যাহারা / যারা</t>
        </is>
      </c>
      <c r="L67" s="19" t="inlineStr">
        <is>
          <t>وہ لوگ جو</t>
        </is>
      </c>
      <c r="M67" s="19" t="inlineStr">
        <is>
          <t>orang-orang yang</t>
        </is>
      </c>
      <c r="N67" s="19" t="inlineStr">
        <is>
          <t>onlar ki</t>
        </is>
      </c>
      <c r="O67" s="19" t="inlineStr">
        <is>
          <t>ceux qui</t>
        </is>
      </c>
      <c r="P67" s="18" t="inlineStr">
        <is>
          <t>Standard Quranic sense.</t>
        </is>
      </c>
      <c r="Q67" s="19" t="inlineStr">
        <is>
          <t>Surah Ref</t>
        </is>
      </c>
      <c r="R67" s="17" t="inlineStr">
        <is>
          <t>【الَّذِينَ】</t>
        </is>
      </c>
      <c r="S67" s="19" t="inlineStr">
        <is>
          <t>Example containing [alladhīna]</t>
        </is>
      </c>
      <c r="T67" s="19" t="inlineStr">
        <is>
          <t>উদাহরণস্বরূপ [যাহারা / যারা]</t>
        </is>
      </c>
      <c r="U67" s="19" t="inlineStr">
        <is>
          <t>مثال برائے [وہ لوگ جو]</t>
        </is>
      </c>
      <c r="V67" s="19" t="inlineStr">
        <is>
          <t>Contoh mengandung [alladhīna]</t>
        </is>
      </c>
      <c r="W67" s="19" t="inlineStr">
        <is>
          <t>Örnek [alladhīna]</t>
        </is>
      </c>
      <c r="X67" s="19" t="inlineStr">
        <is>
          <t>Exemple contenant [alladhīna]</t>
        </is>
      </c>
    </row>
    <row r="68" ht="25" customHeight="1">
      <c r="A68" s="9" t="n">
        <v>64</v>
      </c>
      <c r="B68" s="22" t="inlineStr">
        <is>
          <t>الَّتِي</t>
        </is>
      </c>
      <c r="C68" s="23" t="inlineStr">
        <is>
          <t>allatī</t>
        </is>
      </c>
      <c r="D68" s="12" t="inlineStr">
        <is>
          <t>—</t>
        </is>
      </c>
      <c r="E68" s="12" t="inlineStr">
        <is>
          <t>Relative Pronoun (Fem. Sg.)</t>
        </is>
      </c>
      <c r="F68" s="24" t="n">
        <v>8</v>
      </c>
      <c r="G68" s="25">
        <f>F68/$F$178</f>
        <v/>
      </c>
      <c r="H68" s="25">
        <f>F68/77429</f>
        <v/>
      </c>
      <c r="I68" s="25">
        <f>I67+G68</f>
        <v/>
      </c>
      <c r="J68" s="12" t="inlineStr">
        <is>
          <t>who / which (feminine)</t>
        </is>
      </c>
      <c r="K68" s="12" t="inlineStr">
        <is>
          <t>যে / যিনি (স্ত্রী)</t>
        </is>
      </c>
      <c r="L68" s="12" t="inlineStr">
        <is>
          <t>وہ جو (مونث)</t>
        </is>
      </c>
      <c r="M68" s="12" t="inlineStr">
        <is>
          <t>yang (perempuan)</t>
        </is>
      </c>
      <c r="N68" s="12" t="inlineStr">
        <is>
          <t>o ki (dişi)</t>
        </is>
      </c>
      <c r="O68" s="12" t="inlineStr">
        <is>
          <t>celle qui</t>
        </is>
      </c>
      <c r="P68" s="23" t="inlineStr">
        <is>
          <t>Standard Quranic sense.</t>
        </is>
      </c>
      <c r="Q68" s="12" t="inlineStr">
        <is>
          <t>Surah Ref</t>
        </is>
      </c>
      <c r="R68" s="22" t="inlineStr">
        <is>
          <t>【الَّتِي】</t>
        </is>
      </c>
      <c r="S68" s="12" t="inlineStr">
        <is>
          <t>Example containing [allatī]</t>
        </is>
      </c>
      <c r="T68" s="12" t="inlineStr">
        <is>
          <t>উদাহরণস্বরূপ [যে / যিনি (স্ত্রী)]</t>
        </is>
      </c>
      <c r="U68" s="12" t="inlineStr">
        <is>
          <t>مثال برائے [وہ جو (مونث)]</t>
        </is>
      </c>
      <c r="V68" s="12" t="inlineStr">
        <is>
          <t>Contoh mengandung [allatī]</t>
        </is>
      </c>
      <c r="W68" s="12" t="inlineStr">
        <is>
          <t>Örnek [allatī]</t>
        </is>
      </c>
      <c r="X68" s="12" t="inlineStr">
        <is>
          <t>Exemple contenant [allatī]</t>
        </is>
      </c>
    </row>
    <row r="69" ht="25" customHeight="1">
      <c r="A69" s="16" t="n">
        <v>65</v>
      </c>
      <c r="B69" s="17" t="inlineStr">
        <is>
          <t>مَتَىٰ</t>
        </is>
      </c>
      <c r="C69" s="18" t="inlineStr">
        <is>
          <t>matā</t>
        </is>
      </c>
      <c r="D69" s="19" t="inlineStr">
        <is>
          <t>—</t>
        </is>
      </c>
      <c r="E69" s="19" t="inlineStr">
        <is>
          <t>Interrogative Adverb</t>
        </is>
      </c>
      <c r="F69" s="20" t="n">
        <v>8</v>
      </c>
      <c r="G69" s="21">
        <f>F69/$F$178</f>
        <v/>
      </c>
      <c r="H69" s="21">
        <f>F69/77429</f>
        <v/>
      </c>
      <c r="I69" s="21">
        <f>I68+G69</f>
        <v/>
      </c>
      <c r="J69" s="19" t="inlineStr">
        <is>
          <t>when?</t>
        </is>
      </c>
      <c r="K69" s="19" t="inlineStr">
        <is>
          <t>কখন?</t>
        </is>
      </c>
      <c r="L69" s="19" t="inlineStr">
        <is>
          <t>کب</t>
        </is>
      </c>
      <c r="M69" s="19" t="inlineStr">
        <is>
          <t>kapan?</t>
        </is>
      </c>
      <c r="N69" s="19" t="inlineStr">
        <is>
          <t>ne zaman?</t>
        </is>
      </c>
      <c r="O69" s="19" t="inlineStr">
        <is>
          <t>quand?</t>
        </is>
      </c>
      <c r="P69" s="18" t="inlineStr">
        <is>
          <t>Standard Quranic sense.</t>
        </is>
      </c>
      <c r="Q69" s="19" t="inlineStr">
        <is>
          <t>Surah Ref</t>
        </is>
      </c>
      <c r="R69" s="17" t="inlineStr">
        <is>
          <t>【مَتَىٰ】</t>
        </is>
      </c>
      <c r="S69" s="19" t="inlineStr">
        <is>
          <t>Example containing [matā]</t>
        </is>
      </c>
      <c r="T69" s="19" t="inlineStr">
        <is>
          <t>উদাহরণস্বরূপ [কখন?]</t>
        </is>
      </c>
      <c r="U69" s="19" t="inlineStr">
        <is>
          <t>مثال برائے [کب]</t>
        </is>
      </c>
      <c r="V69" s="19" t="inlineStr">
        <is>
          <t>Contoh mengandung [matā]</t>
        </is>
      </c>
      <c r="W69" s="19" t="inlineStr">
        <is>
          <t>Örnek [matā]</t>
        </is>
      </c>
      <c r="X69" s="19" t="inlineStr">
        <is>
          <t>Exemple contenant [matā]</t>
        </is>
      </c>
    </row>
    <row r="70" ht="25" customHeight="1">
      <c r="A70" s="9" t="n">
        <v>66</v>
      </c>
      <c r="B70" s="22" t="inlineStr">
        <is>
          <t>أَيَّانَ</t>
        </is>
      </c>
      <c r="C70" s="23" t="inlineStr">
        <is>
          <t>ayyāna</t>
        </is>
      </c>
      <c r="D70" s="12" t="inlineStr">
        <is>
          <t>—</t>
        </is>
      </c>
      <c r="E70" s="12" t="inlineStr">
        <is>
          <t>Interrogative Adverb</t>
        </is>
      </c>
      <c r="F70" s="24" t="n">
        <v>8</v>
      </c>
      <c r="G70" s="25">
        <f>F70/$F$178</f>
        <v/>
      </c>
      <c r="H70" s="25">
        <f>F70/77429</f>
        <v/>
      </c>
      <c r="I70" s="25">
        <f>I69+G70</f>
        <v/>
      </c>
      <c r="J70" s="12" t="inlineStr">
        <is>
          <t>when? / at what time?</t>
        </is>
      </c>
      <c r="K70" s="12" t="inlineStr">
        <is>
          <t>কবে? / কখন?</t>
        </is>
      </c>
      <c r="L70" s="12" t="inlineStr">
        <is>
          <t>کب / کس وقت</t>
        </is>
      </c>
      <c r="M70" s="12" t="inlineStr">
        <is>
          <t>kapan kah?</t>
        </is>
      </c>
      <c r="N70" s="12" t="inlineStr">
        <is>
          <t>ne zaman?</t>
        </is>
      </c>
      <c r="O70" s="12" t="inlineStr">
        <is>
          <t>quand donc?</t>
        </is>
      </c>
      <c r="P70" s="23" t="inlineStr">
        <is>
          <t>Standard Quranic sense.</t>
        </is>
      </c>
      <c r="Q70" s="12" t="inlineStr">
        <is>
          <t>Surah Ref</t>
        </is>
      </c>
      <c r="R70" s="22" t="inlineStr">
        <is>
          <t>【أَيَّانَ】</t>
        </is>
      </c>
      <c r="S70" s="12" t="inlineStr">
        <is>
          <t>Example containing [ayyāna]</t>
        </is>
      </c>
      <c r="T70" s="12" t="inlineStr">
        <is>
          <t>উদাহরণস্বরূপ [কবে? / কখন?]</t>
        </is>
      </c>
      <c r="U70" s="12" t="inlineStr">
        <is>
          <t>مثال برائے [کب / کس وقت]</t>
        </is>
      </c>
      <c r="V70" s="12" t="inlineStr">
        <is>
          <t>Contoh mengandung [ayyāna]</t>
        </is>
      </c>
      <c r="W70" s="12" t="inlineStr">
        <is>
          <t>Örnek [ayyāna]</t>
        </is>
      </c>
      <c r="X70" s="12" t="inlineStr">
        <is>
          <t>Exemple contenant [ayyāna]</t>
        </is>
      </c>
    </row>
    <row r="71" ht="25" customHeight="1">
      <c r="A71" s="16" t="n">
        <v>67</v>
      </c>
      <c r="B71" s="17" t="inlineStr">
        <is>
          <t>أَيْنَ</t>
        </is>
      </c>
      <c r="C71" s="18" t="inlineStr">
        <is>
          <t>ayna</t>
        </is>
      </c>
      <c r="D71" s="19" t="inlineStr">
        <is>
          <t>—</t>
        </is>
      </c>
      <c r="E71" s="19" t="inlineStr">
        <is>
          <t>Interrogative Adverb</t>
        </is>
      </c>
      <c r="F71" s="20" t="n">
        <v>8</v>
      </c>
      <c r="G71" s="21">
        <f>F71/$F$178</f>
        <v/>
      </c>
      <c r="H71" s="21">
        <f>F71/77429</f>
        <v/>
      </c>
      <c r="I71" s="21">
        <f>I70+G71</f>
        <v/>
      </c>
      <c r="J71" s="19" t="inlineStr">
        <is>
          <t>where?</t>
        </is>
      </c>
      <c r="K71" s="19" t="inlineStr">
        <is>
          <t>কোথায়?</t>
        </is>
      </c>
      <c r="L71" s="19" t="inlineStr">
        <is>
          <t>کہاں</t>
        </is>
      </c>
      <c r="M71" s="19" t="inlineStr">
        <is>
          <t>di mana?</t>
        </is>
      </c>
      <c r="N71" s="19" t="inlineStr">
        <is>
          <t>nerede?</t>
        </is>
      </c>
      <c r="O71" s="19" t="inlineStr">
        <is>
          <t>où?</t>
        </is>
      </c>
      <c r="P71" s="18" t="inlineStr">
        <is>
          <t>Standard Quranic sense.</t>
        </is>
      </c>
      <c r="Q71" s="19" t="inlineStr">
        <is>
          <t>Surah Ref</t>
        </is>
      </c>
      <c r="R71" s="17" t="inlineStr">
        <is>
          <t>【أَيْنَ】</t>
        </is>
      </c>
      <c r="S71" s="19" t="inlineStr">
        <is>
          <t>Example containing [ayna]</t>
        </is>
      </c>
      <c r="T71" s="19" t="inlineStr">
        <is>
          <t>উদাহরণস্বরূপ [কোথায়?]</t>
        </is>
      </c>
      <c r="U71" s="19" t="inlineStr">
        <is>
          <t>مثال برائے [کہاں]</t>
        </is>
      </c>
      <c r="V71" s="19" t="inlineStr">
        <is>
          <t>Contoh mengandung [ayna]</t>
        </is>
      </c>
      <c r="W71" s="19" t="inlineStr">
        <is>
          <t>Örnek [ayna]</t>
        </is>
      </c>
      <c r="X71" s="19" t="inlineStr">
        <is>
          <t>Exemple contenant [ayna]</t>
        </is>
      </c>
    </row>
    <row r="72" ht="25" customHeight="1">
      <c r="A72" s="9" t="n">
        <v>68</v>
      </c>
      <c r="B72" s="22" t="inlineStr">
        <is>
          <t>أَنَّىٰ</t>
        </is>
      </c>
      <c r="C72" s="23" t="inlineStr">
        <is>
          <t>annā</t>
        </is>
      </c>
      <c r="D72" s="12" t="inlineStr">
        <is>
          <t>—</t>
        </is>
      </c>
      <c r="E72" s="12" t="inlineStr">
        <is>
          <t>Interrogative Adverb</t>
        </is>
      </c>
      <c r="F72" s="24" t="n">
        <v>8</v>
      </c>
      <c r="G72" s="25">
        <f>F72/$F$178</f>
        <v/>
      </c>
      <c r="H72" s="25">
        <f>F72/77429</f>
        <v/>
      </c>
      <c r="I72" s="25">
        <f>I71+G72</f>
        <v/>
      </c>
      <c r="J72" s="12" t="inlineStr">
        <is>
          <t>how? / from where?</t>
        </is>
      </c>
      <c r="K72" s="12" t="inlineStr">
        <is>
          <t>কিভাবে? / কোথা হতে?</t>
        </is>
      </c>
      <c r="L72" s="12" t="inlineStr">
        <is>
          <t>کیسے / کہاں سے</t>
        </is>
      </c>
      <c r="M72" s="12" t="inlineStr">
        <is>
          <t>bagaimana? / dari mana?</t>
        </is>
      </c>
      <c r="N72" s="12" t="inlineStr">
        <is>
          <t>nasıl?</t>
        </is>
      </c>
      <c r="O72" s="12" t="inlineStr">
        <is>
          <t>comment? / d'où?</t>
        </is>
      </c>
      <c r="P72" s="23" t="inlineStr">
        <is>
          <t>Standard Quranic sense.</t>
        </is>
      </c>
      <c r="Q72" s="12" t="inlineStr">
        <is>
          <t>Surah Ref</t>
        </is>
      </c>
      <c r="R72" s="22" t="inlineStr">
        <is>
          <t>【أَنَّىٰ】</t>
        </is>
      </c>
      <c r="S72" s="12" t="inlineStr">
        <is>
          <t>Example containing [annā]</t>
        </is>
      </c>
      <c r="T72" s="12" t="inlineStr">
        <is>
          <t>উদাহরণস্বরূপ [কিভাবে? / কোথা হতে?]</t>
        </is>
      </c>
      <c r="U72" s="12" t="inlineStr">
        <is>
          <t>مثال برائے [کیسے / کہاں سے]</t>
        </is>
      </c>
      <c r="V72" s="12" t="inlineStr">
        <is>
          <t>Contoh mengandung [annā]</t>
        </is>
      </c>
      <c r="W72" s="12" t="inlineStr">
        <is>
          <t>Örnek [annā]</t>
        </is>
      </c>
      <c r="X72" s="12" t="inlineStr">
        <is>
          <t>Exemple contenant [annā]</t>
        </is>
      </c>
    </row>
    <row r="73" ht="25" customHeight="1">
      <c r="A73" s="16" t="n">
        <v>69</v>
      </c>
      <c r="B73" s="17" t="inlineStr">
        <is>
          <t>حَيْثُ</t>
        </is>
      </c>
      <c r="C73" s="18" t="inlineStr">
        <is>
          <t>ḥaythu</t>
        </is>
      </c>
      <c r="D73" s="19" t="inlineStr">
        <is>
          <t>—</t>
        </is>
      </c>
      <c r="E73" s="19" t="inlineStr">
        <is>
          <t>Location Adverb</t>
        </is>
      </c>
      <c r="F73" s="20" t="n">
        <v>8</v>
      </c>
      <c r="G73" s="21">
        <f>F73/$F$178</f>
        <v/>
      </c>
      <c r="H73" s="21">
        <f>F73/77429</f>
        <v/>
      </c>
      <c r="I73" s="21">
        <f>I72+G73</f>
        <v/>
      </c>
      <c r="J73" s="19" t="inlineStr">
        <is>
          <t>where / wherever</t>
        </is>
      </c>
      <c r="K73" s="19" t="inlineStr">
        <is>
          <t>যেখানে / যে স্থানে</t>
        </is>
      </c>
      <c r="L73" s="19" t="inlineStr">
        <is>
          <t>جہاں</t>
        </is>
      </c>
      <c r="M73" s="19" t="inlineStr">
        <is>
          <t>di mana pun</t>
        </is>
      </c>
      <c r="N73" s="19" t="inlineStr">
        <is>
          <t>-diği yerde</t>
        </is>
      </c>
      <c r="O73" s="19" t="inlineStr">
        <is>
          <t>où que / là où</t>
        </is>
      </c>
      <c r="P73" s="18" t="inlineStr">
        <is>
          <t>Standard Quranic sense.</t>
        </is>
      </c>
      <c r="Q73" s="19" t="inlineStr">
        <is>
          <t>Surah Ref</t>
        </is>
      </c>
      <c r="R73" s="17" t="inlineStr">
        <is>
          <t>【حَيْثُ】</t>
        </is>
      </c>
      <c r="S73" s="19" t="inlineStr">
        <is>
          <t>Example containing [ḥaythu]</t>
        </is>
      </c>
      <c r="T73" s="19" t="inlineStr">
        <is>
          <t>উদাহরণস্বরূপ [যেখানে / যে স্থানে]</t>
        </is>
      </c>
      <c r="U73" s="19" t="inlineStr">
        <is>
          <t>مثال برائے [جہاں]</t>
        </is>
      </c>
      <c r="V73" s="19" t="inlineStr">
        <is>
          <t>Contoh mengandung [ḥaythu]</t>
        </is>
      </c>
      <c r="W73" s="19" t="inlineStr">
        <is>
          <t>Örnek [ḥaythu]</t>
        </is>
      </c>
      <c r="X73" s="19" t="inlineStr">
        <is>
          <t>Exemple contenant [ḥaythu]</t>
        </is>
      </c>
    </row>
    <row r="74" ht="25" customHeight="1">
      <c r="A74" s="9" t="n">
        <v>70</v>
      </c>
      <c r="B74" s="22" t="inlineStr">
        <is>
          <t>الآنَ</t>
        </is>
      </c>
      <c r="C74" s="23" t="inlineStr">
        <is>
          <t>al-āna</t>
        </is>
      </c>
      <c r="D74" s="12" t="inlineStr">
        <is>
          <t>—</t>
        </is>
      </c>
      <c r="E74" s="12" t="inlineStr">
        <is>
          <t>Time Adverb</t>
        </is>
      </c>
      <c r="F74" s="24" t="n">
        <v>8</v>
      </c>
      <c r="G74" s="25">
        <f>F74/$F$178</f>
        <v/>
      </c>
      <c r="H74" s="25">
        <f>F74/77429</f>
        <v/>
      </c>
      <c r="I74" s="25">
        <f>I73+G74</f>
        <v/>
      </c>
      <c r="J74" s="12" t="inlineStr">
        <is>
          <t>now</t>
        </is>
      </c>
      <c r="K74" s="12" t="inlineStr">
        <is>
          <t>এখন</t>
        </is>
      </c>
      <c r="L74" s="12" t="inlineStr">
        <is>
          <t>اب</t>
        </is>
      </c>
      <c r="M74" s="12" t="inlineStr">
        <is>
          <t>sekarang</t>
        </is>
      </c>
      <c r="N74" s="12" t="inlineStr">
        <is>
          <t>şimdi</t>
        </is>
      </c>
      <c r="O74" s="12" t="inlineStr">
        <is>
          <t>maintenant</t>
        </is>
      </c>
      <c r="P74" s="23" t="inlineStr">
        <is>
          <t>Standard Quranic sense.</t>
        </is>
      </c>
      <c r="Q74" s="12" t="inlineStr">
        <is>
          <t>Surah Ref</t>
        </is>
      </c>
      <c r="R74" s="22" t="inlineStr">
        <is>
          <t>【الآنَ】</t>
        </is>
      </c>
      <c r="S74" s="12" t="inlineStr">
        <is>
          <t>Example containing [al-āna]</t>
        </is>
      </c>
      <c r="T74" s="12" t="inlineStr">
        <is>
          <t>উদাহরণস্বরূপ [এখন]</t>
        </is>
      </c>
      <c r="U74" s="12" t="inlineStr">
        <is>
          <t>مثال برائے [اب]</t>
        </is>
      </c>
      <c r="V74" s="12" t="inlineStr">
        <is>
          <t>Contoh mengandung [al-āna]</t>
        </is>
      </c>
      <c r="W74" s="12" t="inlineStr">
        <is>
          <t>Örnek [al-āna]</t>
        </is>
      </c>
      <c r="X74" s="12" t="inlineStr">
        <is>
          <t>Exemple contenant [al-āna]</t>
        </is>
      </c>
    </row>
    <row r="75" ht="25" customHeight="1">
      <c r="A75" s="16" t="n">
        <v>71</v>
      </c>
      <c r="B75" s="17" t="inlineStr">
        <is>
          <t>لَدُنْ</t>
        </is>
      </c>
      <c r="C75" s="18" t="inlineStr">
        <is>
          <t>ladun</t>
        </is>
      </c>
      <c r="D75" s="19" t="inlineStr">
        <is>
          <t>—</t>
        </is>
      </c>
      <c r="E75" s="19" t="inlineStr">
        <is>
          <t>Location Adverb</t>
        </is>
      </c>
      <c r="F75" s="20" t="n">
        <v>8</v>
      </c>
      <c r="G75" s="21">
        <f>F75/$F$178</f>
        <v/>
      </c>
      <c r="H75" s="21">
        <f>F75/77429</f>
        <v/>
      </c>
      <c r="I75" s="21">
        <f>I74+G75</f>
        <v/>
      </c>
      <c r="J75" s="19" t="inlineStr">
        <is>
          <t>from near / directly from</t>
        </is>
      </c>
      <c r="K75" s="19" t="inlineStr">
        <is>
          <t>নিকট হতে</t>
        </is>
      </c>
      <c r="L75" s="19" t="inlineStr">
        <is>
          <t>پاس سے</t>
        </is>
      </c>
      <c r="M75" s="19" t="inlineStr">
        <is>
          <t>dari sisi</t>
        </is>
      </c>
      <c r="N75" s="19" t="inlineStr">
        <is>
          <t>katından</t>
        </is>
      </c>
      <c r="O75" s="19" t="inlineStr">
        <is>
          <t>de chez / de la part de</t>
        </is>
      </c>
      <c r="P75" s="18" t="inlineStr">
        <is>
          <t>Standard Quranic sense.</t>
        </is>
      </c>
      <c r="Q75" s="19" t="inlineStr">
        <is>
          <t>Surah Ref</t>
        </is>
      </c>
      <c r="R75" s="17" t="inlineStr">
        <is>
          <t>【لَدُنْ】</t>
        </is>
      </c>
      <c r="S75" s="19" t="inlineStr">
        <is>
          <t>Example containing [ladun]</t>
        </is>
      </c>
      <c r="T75" s="19" t="inlineStr">
        <is>
          <t>উদাহরণস্বরূপ [নিকট হতে]</t>
        </is>
      </c>
      <c r="U75" s="19" t="inlineStr">
        <is>
          <t>مثال برائے [پاس سے]</t>
        </is>
      </c>
      <c r="V75" s="19" t="inlineStr">
        <is>
          <t>Contoh mengandung [ladun]</t>
        </is>
      </c>
      <c r="W75" s="19" t="inlineStr">
        <is>
          <t>Örnek [ladun]</t>
        </is>
      </c>
      <c r="X75" s="19" t="inlineStr">
        <is>
          <t>Exemple contenant [ladun]</t>
        </is>
      </c>
    </row>
    <row r="76" ht="25" customHeight="1">
      <c r="A76" s="9" t="n">
        <v>72</v>
      </c>
      <c r="B76" s="22" t="inlineStr">
        <is>
          <t>عَسَىٰ</t>
        </is>
      </c>
      <c r="C76" s="23" t="inlineStr">
        <is>
          <t>ʿasā</t>
        </is>
      </c>
      <c r="D76" s="12" t="inlineStr">
        <is>
          <t>—</t>
        </is>
      </c>
      <c r="E76" s="12" t="inlineStr">
        <is>
          <t>Hope Verbal Particle</t>
        </is>
      </c>
      <c r="F76" s="24" t="n">
        <v>8</v>
      </c>
      <c r="G76" s="25">
        <f>F76/$F$178</f>
        <v/>
      </c>
      <c r="H76" s="25">
        <f>F76/77429</f>
        <v/>
      </c>
      <c r="I76" s="25">
        <f>I75+G76</f>
        <v/>
      </c>
      <c r="J76" s="12" t="inlineStr">
        <is>
          <t>perhaps / maybe</t>
        </is>
      </c>
      <c r="K76" s="12" t="inlineStr">
        <is>
          <t>হয়তো / আশা করা যায়</t>
        </is>
      </c>
      <c r="L76" s="12" t="inlineStr">
        <is>
          <t>امید ہے / شاید</t>
        </is>
      </c>
      <c r="M76" s="12" t="inlineStr">
        <is>
          <t>semoga / mudah-mudahan</t>
        </is>
      </c>
      <c r="N76" s="12" t="inlineStr">
        <is>
          <t>ola ki / umulur ki</t>
        </is>
      </c>
      <c r="O76" s="12" t="inlineStr">
        <is>
          <t>peut-être / il se peut</t>
        </is>
      </c>
      <c r="P76" s="23" t="inlineStr">
        <is>
          <t>Standard Quranic sense.</t>
        </is>
      </c>
      <c r="Q76" s="12" t="inlineStr">
        <is>
          <t>Surah Ref</t>
        </is>
      </c>
      <c r="R76" s="22" t="inlineStr">
        <is>
          <t>【عَسَىٰ】</t>
        </is>
      </c>
      <c r="S76" s="12" t="inlineStr">
        <is>
          <t>Example containing [ʿasā]</t>
        </is>
      </c>
      <c r="T76" s="12" t="inlineStr">
        <is>
          <t>উদাহরণস্বরূপ [হয়তো / আশা করা যায়]</t>
        </is>
      </c>
      <c r="U76" s="12" t="inlineStr">
        <is>
          <t>مثال برائے [امید ہے / شاید]</t>
        </is>
      </c>
      <c r="V76" s="12" t="inlineStr">
        <is>
          <t>Contoh mengandung [ʿasā]</t>
        </is>
      </c>
      <c r="W76" s="12" t="inlineStr">
        <is>
          <t>Örnek [ʿasā]</t>
        </is>
      </c>
      <c r="X76" s="12" t="inlineStr">
        <is>
          <t>Exemple contenant [ʿasā]</t>
        </is>
      </c>
    </row>
    <row r="77" ht="25" customHeight="1">
      <c r="A77" s="16" t="n">
        <v>73</v>
      </c>
      <c r="B77" s="17" t="inlineStr">
        <is>
          <t>لَاتَ</t>
        </is>
      </c>
      <c r="C77" s="18" t="inlineStr">
        <is>
          <t>lāta</t>
        </is>
      </c>
      <c r="D77" s="19" t="inlineStr">
        <is>
          <t>—</t>
        </is>
      </c>
      <c r="E77" s="19" t="inlineStr">
        <is>
          <t>Negation Particle</t>
        </is>
      </c>
      <c r="F77" s="20" t="n">
        <v>8</v>
      </c>
      <c r="G77" s="21">
        <f>F77/$F$178</f>
        <v/>
      </c>
      <c r="H77" s="21">
        <f>F77/77429</f>
        <v/>
      </c>
      <c r="I77" s="21">
        <f>I76+G77</f>
        <v/>
      </c>
      <c r="J77" s="19" t="inlineStr">
        <is>
          <t>there is no time of</t>
        </is>
      </c>
      <c r="K77" s="19" t="inlineStr">
        <is>
          <t>কোনো সুযোগ নেই</t>
        </is>
      </c>
      <c r="L77" s="19" t="inlineStr">
        <is>
          <t>نہ رہا / وقت نہیں</t>
        </is>
      </c>
      <c r="M77" s="19" t="inlineStr">
        <is>
          <t>bukanlah saat</t>
        </is>
      </c>
      <c r="N77" s="19" t="inlineStr">
        <is>
          <t>vakit değildir</t>
        </is>
      </c>
      <c r="O77" s="19" t="inlineStr">
        <is>
          <t>ce n'est plus le moment de</t>
        </is>
      </c>
      <c r="P77" s="18" t="inlineStr">
        <is>
          <t>Standard Quranic sense.</t>
        </is>
      </c>
      <c r="Q77" s="19" t="inlineStr">
        <is>
          <t>Surah Ref</t>
        </is>
      </c>
      <c r="R77" s="17" t="inlineStr">
        <is>
          <t>【لَاتَ】</t>
        </is>
      </c>
      <c r="S77" s="19" t="inlineStr">
        <is>
          <t>Example containing [lāta]</t>
        </is>
      </c>
      <c r="T77" s="19" t="inlineStr">
        <is>
          <t>উদাহরণস্বরূপ [কোনো সুযোগ নেই]</t>
        </is>
      </c>
      <c r="U77" s="19" t="inlineStr">
        <is>
          <t>مثال برائے [نہ رہا / وقت نہیں]</t>
        </is>
      </c>
      <c r="V77" s="19" t="inlineStr">
        <is>
          <t>Contoh mengandung [lāta]</t>
        </is>
      </c>
      <c r="W77" s="19" t="inlineStr">
        <is>
          <t>Örnek [lāta]</t>
        </is>
      </c>
      <c r="X77" s="19" t="inlineStr">
        <is>
          <t>Exemple contenant [lāta]</t>
        </is>
      </c>
    </row>
    <row r="78" ht="25" customHeight="1">
      <c r="A78" s="9" t="n">
        <v>74</v>
      </c>
      <c r="B78" s="22" t="inlineStr">
        <is>
          <t>لَمَّا</t>
        </is>
      </c>
      <c r="C78" s="23" t="inlineStr">
        <is>
          <t>lammā</t>
        </is>
      </c>
      <c r="D78" s="12" t="inlineStr">
        <is>
          <t>—</t>
        </is>
      </c>
      <c r="E78" s="12" t="inlineStr">
        <is>
          <t>Conditional Time / Jussive</t>
        </is>
      </c>
      <c r="F78" s="24" t="n">
        <v>8</v>
      </c>
      <c r="G78" s="25">
        <f>F78/$F$178</f>
        <v/>
      </c>
      <c r="H78" s="25">
        <f>F78/77429</f>
        <v/>
      </c>
      <c r="I78" s="25">
        <f>I77+G78</f>
        <v/>
      </c>
      <c r="J78" s="12" t="inlineStr">
        <is>
          <t>when / after / not yet</t>
        </is>
      </c>
      <c r="K78" s="12" t="inlineStr">
        <is>
          <t>যখন / এখনও না</t>
        </is>
      </c>
      <c r="L78" s="12" t="inlineStr">
        <is>
          <t>جب / ابھی تک نہیں</t>
        </is>
      </c>
      <c r="M78" s="12" t="inlineStr">
        <is>
          <t>tatkala / belum</t>
        </is>
      </c>
      <c r="N78" s="12" t="inlineStr">
        <is>
          <t>zaman / henüz</t>
        </is>
      </c>
      <c r="O78" s="12" t="inlineStr">
        <is>
          <t>lorsque / pas encore</t>
        </is>
      </c>
      <c r="P78" s="23" t="inlineStr">
        <is>
          <t>Standard Quranic sense.</t>
        </is>
      </c>
      <c r="Q78" s="12" t="inlineStr">
        <is>
          <t>Surah Ref</t>
        </is>
      </c>
      <c r="R78" s="22" t="inlineStr">
        <is>
          <t>【لَمَّا】</t>
        </is>
      </c>
      <c r="S78" s="12" t="inlineStr">
        <is>
          <t>Example containing [lammā]</t>
        </is>
      </c>
      <c r="T78" s="12" t="inlineStr">
        <is>
          <t>উদাহরণস্বরূপ [যখন / এখনও না]</t>
        </is>
      </c>
      <c r="U78" s="12" t="inlineStr">
        <is>
          <t>مثال برائے [جب / ابھی تک نہیں]</t>
        </is>
      </c>
      <c r="V78" s="12" t="inlineStr">
        <is>
          <t>Contoh mengandung [lammā]</t>
        </is>
      </c>
      <c r="W78" s="12" t="inlineStr">
        <is>
          <t>Örnek [lammā]</t>
        </is>
      </c>
      <c r="X78" s="12" t="inlineStr">
        <is>
          <t>Exemple contenant [lammā]</t>
        </is>
      </c>
    </row>
    <row r="79" ht="25" customHeight="1">
      <c r="A79" s="16" t="n">
        <v>75</v>
      </c>
      <c r="B79" s="17" t="inlineStr">
        <is>
          <t>خَلَا</t>
        </is>
      </c>
      <c r="C79" s="18" t="inlineStr">
        <is>
          <t>khalā</t>
        </is>
      </c>
      <c r="D79" s="19" t="inlineStr">
        <is>
          <t>—</t>
        </is>
      </c>
      <c r="E79" s="19" t="inlineStr">
        <is>
          <t>Exceptive Particle</t>
        </is>
      </c>
      <c r="F79" s="20" t="n">
        <v>8</v>
      </c>
      <c r="G79" s="21">
        <f>F79/$F$178</f>
        <v/>
      </c>
      <c r="H79" s="21">
        <f>F79/77429</f>
        <v/>
      </c>
      <c r="I79" s="21">
        <f>I78+G79</f>
        <v/>
      </c>
      <c r="J79" s="19" t="inlineStr">
        <is>
          <t>except / apart from</t>
        </is>
      </c>
      <c r="K79" s="19" t="inlineStr">
        <is>
          <t>ব্যতীত / ছাড়া</t>
        </is>
      </c>
      <c r="L79" s="19" t="inlineStr">
        <is>
          <t>خالی ہونا / سوا</t>
        </is>
      </c>
      <c r="M79" s="19" t="inlineStr">
        <is>
          <t>kecuali</t>
        </is>
      </c>
      <c r="N79" s="19" t="inlineStr">
        <is>
          <t>hariç</t>
        </is>
      </c>
      <c r="O79" s="19" t="inlineStr">
        <is>
          <t>sauf / hormis</t>
        </is>
      </c>
      <c r="P79" s="18" t="inlineStr">
        <is>
          <t>Standard Quranic sense.</t>
        </is>
      </c>
      <c r="Q79" s="19" t="inlineStr">
        <is>
          <t>Surah Ref</t>
        </is>
      </c>
      <c r="R79" s="17" t="inlineStr">
        <is>
          <t>【خَلَا】</t>
        </is>
      </c>
      <c r="S79" s="19" t="inlineStr">
        <is>
          <t>Example containing [khalā]</t>
        </is>
      </c>
      <c r="T79" s="19" t="inlineStr">
        <is>
          <t>উদাহরণস্বরূপ [ব্যতীত / ছাড়া]</t>
        </is>
      </c>
      <c r="U79" s="19" t="inlineStr">
        <is>
          <t>مثال برائے [خالی ہونا / سوا]</t>
        </is>
      </c>
      <c r="V79" s="19" t="inlineStr">
        <is>
          <t>Contoh mengandung [khalā]</t>
        </is>
      </c>
      <c r="W79" s="19" t="inlineStr">
        <is>
          <t>Örnek [khalā]</t>
        </is>
      </c>
      <c r="X79" s="19" t="inlineStr">
        <is>
          <t>Exemple contenant [khalā]</t>
        </is>
      </c>
    </row>
    <row r="80" ht="25" customHeight="1">
      <c r="A80" s="9" t="n">
        <v>76</v>
      </c>
      <c r="B80" s="22" t="inlineStr">
        <is>
          <t>عَدَا</t>
        </is>
      </c>
      <c r="C80" s="23" t="inlineStr">
        <is>
          <t>ʿadā</t>
        </is>
      </c>
      <c r="D80" s="12" t="inlineStr">
        <is>
          <t>—</t>
        </is>
      </c>
      <c r="E80" s="12" t="inlineStr">
        <is>
          <t>Exceptive Particle</t>
        </is>
      </c>
      <c r="F80" s="24" t="n">
        <v>8</v>
      </c>
      <c r="G80" s="25">
        <f>F80/$F$178</f>
        <v/>
      </c>
      <c r="H80" s="25">
        <f>F80/77429</f>
        <v/>
      </c>
      <c r="I80" s="25">
        <f>I79+G80</f>
        <v/>
      </c>
      <c r="J80" s="12" t="inlineStr">
        <is>
          <t>except / other than</t>
        </is>
      </c>
      <c r="K80" s="12" t="inlineStr">
        <is>
          <t>ছাড়া / ব্যতীত</t>
        </is>
      </c>
      <c r="L80" s="12" t="inlineStr">
        <is>
          <t>سوا</t>
        </is>
      </c>
      <c r="M80" s="12" t="inlineStr">
        <is>
          <t>selain</t>
        </is>
      </c>
      <c r="N80" s="12" t="inlineStr">
        <is>
          <t>başka</t>
        </is>
      </c>
      <c r="O80" s="12" t="inlineStr">
        <is>
          <t>excepté</t>
        </is>
      </c>
      <c r="P80" s="23" t="inlineStr">
        <is>
          <t>Standard Quranic sense.</t>
        </is>
      </c>
      <c r="Q80" s="12" t="inlineStr">
        <is>
          <t>Surah Ref</t>
        </is>
      </c>
      <c r="R80" s="22" t="inlineStr">
        <is>
          <t>【عَدَا】</t>
        </is>
      </c>
      <c r="S80" s="12" t="inlineStr">
        <is>
          <t>Example containing [ʿadā]</t>
        </is>
      </c>
      <c r="T80" s="12" t="inlineStr">
        <is>
          <t>উদাহরণস্বরূপ [ছাড়া / ব্যতীত]</t>
        </is>
      </c>
      <c r="U80" s="12" t="inlineStr">
        <is>
          <t>مثال برائے [سوا]</t>
        </is>
      </c>
      <c r="V80" s="12" t="inlineStr">
        <is>
          <t>Contoh mengandung [ʿadā]</t>
        </is>
      </c>
      <c r="W80" s="12" t="inlineStr">
        <is>
          <t>Örnek [ʿadā]</t>
        </is>
      </c>
      <c r="X80" s="12" t="inlineStr">
        <is>
          <t>Exemple contenant [ʿadā]</t>
        </is>
      </c>
    </row>
    <row r="81" ht="25" customHeight="1">
      <c r="A81" s="16" t="n">
        <v>77</v>
      </c>
      <c r="B81" s="17" t="inlineStr">
        <is>
          <t>حَاشَا</t>
        </is>
      </c>
      <c r="C81" s="18" t="inlineStr">
        <is>
          <t>ḥāshā</t>
        </is>
      </c>
      <c r="D81" s="19" t="inlineStr">
        <is>
          <t>—</t>
        </is>
      </c>
      <c r="E81" s="19" t="inlineStr">
        <is>
          <t>Exceptive Particle</t>
        </is>
      </c>
      <c r="F81" s="20" t="n">
        <v>8</v>
      </c>
      <c r="G81" s="21">
        <f>F81/$F$178</f>
        <v/>
      </c>
      <c r="H81" s="21">
        <f>F81/77429</f>
        <v/>
      </c>
      <c r="I81" s="21">
        <f>I80+G81</f>
        <v/>
      </c>
      <c r="J81" s="19" t="inlineStr">
        <is>
          <t>far be it / except</t>
        </is>
      </c>
      <c r="K81" s="19" t="inlineStr">
        <is>
          <t>কখনো নয় / দূর হোক</t>
        </is>
      </c>
      <c r="L81" s="19" t="inlineStr">
        <is>
          <t>حاشا للہ</t>
        </is>
      </c>
      <c r="M81" s="19" t="inlineStr">
        <is>
          <t>jauh dari</t>
        </is>
      </c>
      <c r="N81" s="19" t="inlineStr">
        <is>
          <t>asla / haşa</t>
        </is>
      </c>
      <c r="O81" s="19" t="inlineStr">
        <is>
          <t>loin de là</t>
        </is>
      </c>
      <c r="P81" s="18" t="inlineStr">
        <is>
          <t>Standard Quranic sense.</t>
        </is>
      </c>
      <c r="Q81" s="19" t="inlineStr">
        <is>
          <t>Surah Ref</t>
        </is>
      </c>
      <c r="R81" s="17" t="inlineStr">
        <is>
          <t>【حَاشَا】</t>
        </is>
      </c>
      <c r="S81" s="19" t="inlineStr">
        <is>
          <t>Example containing [ḥāshā]</t>
        </is>
      </c>
      <c r="T81" s="19" t="inlineStr">
        <is>
          <t>উদাহরণস্বরূপ [কখনো নয় / দূর হোক]</t>
        </is>
      </c>
      <c r="U81" s="19" t="inlineStr">
        <is>
          <t>مثال برائے [حاشا للہ]</t>
        </is>
      </c>
      <c r="V81" s="19" t="inlineStr">
        <is>
          <t>Contoh mengandung [ḥāshā]</t>
        </is>
      </c>
      <c r="W81" s="19" t="inlineStr">
        <is>
          <t>Örnek [ḥāshā]</t>
        </is>
      </c>
      <c r="X81" s="19" t="inlineStr">
        <is>
          <t>Exemple contenant [ḥāshā]</t>
        </is>
      </c>
    </row>
    <row r="82" ht="25" customHeight="1">
      <c r="A82" s="9" t="n">
        <v>78</v>
      </c>
      <c r="B82" s="22" t="inlineStr">
        <is>
          <t>كَأَيِّنْ</t>
        </is>
      </c>
      <c r="C82" s="23" t="inlineStr">
        <is>
          <t>ka-ayyin</t>
        </is>
      </c>
      <c r="D82" s="12" t="inlineStr">
        <is>
          <t>—</t>
        </is>
      </c>
      <c r="E82" s="12" t="inlineStr">
        <is>
          <t>Interrogative Multiplier</t>
        </is>
      </c>
      <c r="F82" s="24" t="n">
        <v>8</v>
      </c>
      <c r="G82" s="25">
        <f>F82/$F$178</f>
        <v/>
      </c>
      <c r="H82" s="25">
        <f>F82/77429</f>
        <v/>
      </c>
      <c r="I82" s="25">
        <f>I81+G82</f>
        <v/>
      </c>
      <c r="J82" s="12" t="inlineStr">
        <is>
          <t>how many / how many a</t>
        </is>
      </c>
      <c r="K82" s="12" t="inlineStr">
        <is>
          <t>কতই না / কত যে</t>
        </is>
      </c>
      <c r="L82" s="12" t="inlineStr">
        <is>
          <t>کتنے ہی</t>
        </is>
      </c>
      <c r="M82" s="12" t="inlineStr">
        <is>
          <t>berapa banyak</t>
        </is>
      </c>
      <c r="N82" s="12" t="inlineStr">
        <is>
          <t>nice / ne kadar</t>
        </is>
      </c>
      <c r="O82" s="12" t="inlineStr">
        <is>
          <t>combien de</t>
        </is>
      </c>
      <c r="P82" s="23" t="inlineStr">
        <is>
          <t>Standard Quranic sense.</t>
        </is>
      </c>
      <c r="Q82" s="12" t="inlineStr">
        <is>
          <t>Surah Ref</t>
        </is>
      </c>
      <c r="R82" s="22" t="inlineStr">
        <is>
          <t>【كَأَيِّنْ】</t>
        </is>
      </c>
      <c r="S82" s="12" t="inlineStr">
        <is>
          <t>Example containing [ka-ayyin]</t>
        </is>
      </c>
      <c r="T82" s="12" t="inlineStr">
        <is>
          <t>উদাহরণস্বরূপ [কতই না / কত যে]</t>
        </is>
      </c>
      <c r="U82" s="12" t="inlineStr">
        <is>
          <t>مثال برائے [کتنے ہی]</t>
        </is>
      </c>
      <c r="V82" s="12" t="inlineStr">
        <is>
          <t>Contoh mengandung [ka-ayyin]</t>
        </is>
      </c>
      <c r="W82" s="12" t="inlineStr">
        <is>
          <t>Örnek [ka-ayyin]</t>
        </is>
      </c>
      <c r="X82" s="12" t="inlineStr">
        <is>
          <t>Exemple contenant [ka-ayyin]</t>
        </is>
      </c>
    </row>
    <row r="83" ht="25" customHeight="1">
      <c r="A83" s="16" t="n">
        <v>79</v>
      </c>
      <c r="B83" s="17" t="inlineStr">
        <is>
          <t>كَذَٰلِكَ</t>
        </is>
      </c>
      <c r="C83" s="18" t="inlineStr">
        <is>
          <t>kadhālika</t>
        </is>
      </c>
      <c r="D83" s="19" t="inlineStr">
        <is>
          <t>—</t>
        </is>
      </c>
      <c r="E83" s="19" t="inlineStr">
        <is>
          <t>Exemplary Particle</t>
        </is>
      </c>
      <c r="F83" s="20" t="n">
        <v>8</v>
      </c>
      <c r="G83" s="21">
        <f>F83/$F$178</f>
        <v/>
      </c>
      <c r="H83" s="21">
        <f>F83/77429</f>
        <v/>
      </c>
      <c r="I83" s="21">
        <f>I82+G83</f>
        <v/>
      </c>
      <c r="J83" s="19" t="inlineStr">
        <is>
          <t>thus / in like manner</t>
        </is>
      </c>
      <c r="K83" s="19" t="inlineStr">
        <is>
          <t>এইরূপ / সেইভাবে</t>
        </is>
      </c>
      <c r="L83" s="19" t="inlineStr">
        <is>
          <t>اسی طرح</t>
        </is>
      </c>
      <c r="M83" s="19" t="inlineStr">
        <is>
          <t>demikianlah</t>
        </is>
      </c>
      <c r="N83" s="19" t="inlineStr">
        <is>
          <t>böylece</t>
        </is>
      </c>
      <c r="O83" s="19" t="inlineStr">
        <is>
          <t>ainsi</t>
        </is>
      </c>
      <c r="P83" s="18" t="inlineStr">
        <is>
          <t>Standard Quranic sense.</t>
        </is>
      </c>
      <c r="Q83" s="19" t="inlineStr">
        <is>
          <t>Surah Ref</t>
        </is>
      </c>
      <c r="R83" s="17" t="inlineStr">
        <is>
          <t>【كَذَٰلِكَ】</t>
        </is>
      </c>
      <c r="S83" s="19" t="inlineStr">
        <is>
          <t>Example containing [kadhālika]</t>
        </is>
      </c>
      <c r="T83" s="19" t="inlineStr">
        <is>
          <t>উদাহরণস্বরূপ [এইরূপ / সেইভাবে]</t>
        </is>
      </c>
      <c r="U83" s="19" t="inlineStr">
        <is>
          <t>مثال برائے [اسی طرح]</t>
        </is>
      </c>
      <c r="V83" s="19" t="inlineStr">
        <is>
          <t>Contoh mengandung [kadhālika]</t>
        </is>
      </c>
      <c r="W83" s="19" t="inlineStr">
        <is>
          <t>Örnek [kadhālika]</t>
        </is>
      </c>
      <c r="X83" s="19" t="inlineStr">
        <is>
          <t>Exemple contenant [kadhālika]</t>
        </is>
      </c>
    </row>
    <row r="84" ht="25" customHeight="1">
      <c r="A84" s="9" t="n">
        <v>80</v>
      </c>
      <c r="B84" s="22" t="inlineStr">
        <is>
          <t>هُنَالِكَ</t>
        </is>
      </c>
      <c r="C84" s="23" t="inlineStr">
        <is>
          <t>hunālika</t>
        </is>
      </c>
      <c r="D84" s="12" t="inlineStr">
        <is>
          <t>—</t>
        </is>
      </c>
      <c r="E84" s="12" t="inlineStr">
        <is>
          <t>Location Demonstrative</t>
        </is>
      </c>
      <c r="F84" s="24" t="n">
        <v>8</v>
      </c>
      <c r="G84" s="25">
        <f>F84/$F$178</f>
        <v/>
      </c>
      <c r="H84" s="25">
        <f>F84/77429</f>
        <v/>
      </c>
      <c r="I84" s="25">
        <f>I83+G84</f>
        <v/>
      </c>
      <c r="J84" s="12" t="inlineStr">
        <is>
          <t>there / at that place</t>
        </is>
      </c>
      <c r="K84" s="12" t="inlineStr">
        <is>
          <t>সেথায় / সেই স্থানে</t>
        </is>
      </c>
      <c r="L84" s="12" t="inlineStr">
        <is>
          <t>وہاں / اس جگہ</t>
        </is>
      </c>
      <c r="M84" s="12" t="inlineStr">
        <is>
          <t>di sanalah</t>
        </is>
      </c>
      <c r="N84" s="12" t="inlineStr">
        <is>
          <t>orada</t>
        </is>
      </c>
      <c r="O84" s="12" t="inlineStr">
        <is>
          <t>là-bas</t>
        </is>
      </c>
      <c r="P84" s="23" t="inlineStr">
        <is>
          <t>Standard Quranic sense.</t>
        </is>
      </c>
      <c r="Q84" s="12" t="inlineStr">
        <is>
          <t>Surah Ref</t>
        </is>
      </c>
      <c r="R84" s="22" t="inlineStr">
        <is>
          <t>【هُنَالِكَ】</t>
        </is>
      </c>
      <c r="S84" s="12" t="inlineStr">
        <is>
          <t>Example containing [hunālika]</t>
        </is>
      </c>
      <c r="T84" s="12" t="inlineStr">
        <is>
          <t>উদাহরণস্বরূপ [সেথায় / সেই স্থানে]</t>
        </is>
      </c>
      <c r="U84" s="12" t="inlineStr">
        <is>
          <t>مثال برائے [وہاں / اس جگہ]</t>
        </is>
      </c>
      <c r="V84" s="12" t="inlineStr">
        <is>
          <t>Contoh mengandung [hunālika]</t>
        </is>
      </c>
      <c r="W84" s="12" t="inlineStr">
        <is>
          <t>Örnek [hunālika]</t>
        </is>
      </c>
      <c r="X84" s="12" t="inlineStr">
        <is>
          <t>Exemple contenant [hunālika]</t>
        </is>
      </c>
    </row>
    <row r="85" ht="25" customHeight="1">
      <c r="A85" s="16" t="n">
        <v>81</v>
      </c>
      <c r="B85" s="17" t="inlineStr">
        <is>
          <t>ثَمَّ</t>
        </is>
      </c>
      <c r="C85" s="18" t="inlineStr">
        <is>
          <t>thamma</t>
        </is>
      </c>
      <c r="D85" s="19" t="inlineStr">
        <is>
          <t>—</t>
        </is>
      </c>
      <c r="E85" s="19" t="inlineStr">
        <is>
          <t>Location Demonstrative</t>
        </is>
      </c>
      <c r="F85" s="20" t="n">
        <v>8</v>
      </c>
      <c r="G85" s="21">
        <f>F85/$F$178</f>
        <v/>
      </c>
      <c r="H85" s="21">
        <f>F85/77429</f>
        <v/>
      </c>
      <c r="I85" s="21">
        <f>I84+G85</f>
        <v/>
      </c>
      <c r="J85" s="19" t="inlineStr">
        <is>
          <t>there / in that direction</t>
        </is>
      </c>
      <c r="K85" s="19" t="inlineStr">
        <is>
          <t>সেথায় / ঐখানে</t>
        </is>
      </c>
      <c r="L85" s="19" t="inlineStr">
        <is>
          <t>وہاں</t>
        </is>
      </c>
      <c r="M85" s="19" t="inlineStr">
        <is>
          <t>di sana</t>
        </is>
      </c>
      <c r="N85" s="19" t="inlineStr">
        <is>
          <t>orada</t>
        </is>
      </c>
      <c r="O85" s="19" t="inlineStr">
        <is>
          <t>là / là-bas</t>
        </is>
      </c>
      <c r="P85" s="18" t="inlineStr">
        <is>
          <t>Standard Quranic sense.</t>
        </is>
      </c>
      <c r="Q85" s="19" t="inlineStr">
        <is>
          <t>Surah Ref</t>
        </is>
      </c>
      <c r="R85" s="17" t="inlineStr">
        <is>
          <t>【ثَمَّ】</t>
        </is>
      </c>
      <c r="S85" s="19" t="inlineStr">
        <is>
          <t>Example containing [thamma]</t>
        </is>
      </c>
      <c r="T85" s="19" t="inlineStr">
        <is>
          <t>উদাহরণস্বরূপ [সেথায় / ঐখানে]</t>
        </is>
      </c>
      <c r="U85" s="19" t="inlineStr">
        <is>
          <t>مثال برائے [وہاں]</t>
        </is>
      </c>
      <c r="V85" s="19" t="inlineStr">
        <is>
          <t>Contoh mengandung [thamma]</t>
        </is>
      </c>
      <c r="W85" s="19" t="inlineStr">
        <is>
          <t>Örnek [thamma]</t>
        </is>
      </c>
      <c r="X85" s="19" t="inlineStr">
        <is>
          <t>Exemple contenant [thamma]</t>
        </is>
      </c>
    </row>
    <row r="86" ht="25" customHeight="1">
      <c r="A86" s="9" t="n">
        <v>82</v>
      </c>
      <c r="B86" s="22" t="inlineStr">
        <is>
          <t>نِعْمَ</t>
        </is>
      </c>
      <c r="C86" s="23" t="inlineStr">
        <is>
          <t>niʿma</t>
        </is>
      </c>
      <c r="D86" s="12" t="inlineStr">
        <is>
          <t>—</t>
        </is>
      </c>
      <c r="E86" s="12" t="inlineStr">
        <is>
          <t>Praise Particle</t>
        </is>
      </c>
      <c r="F86" s="24" t="n">
        <v>8</v>
      </c>
      <c r="G86" s="25">
        <f>F86/$F$178</f>
        <v/>
      </c>
      <c r="H86" s="25">
        <f>F86/77429</f>
        <v/>
      </c>
      <c r="I86" s="25">
        <f>I85+G86</f>
        <v/>
      </c>
      <c r="J86" s="12" t="inlineStr">
        <is>
          <t>how excellent / what a good</t>
        </is>
      </c>
      <c r="K86" s="12" t="inlineStr">
        <is>
          <t>কতই না চমৎকার</t>
        </is>
      </c>
      <c r="L86" s="12" t="inlineStr">
        <is>
          <t>بہت اچھا</t>
        </is>
      </c>
      <c r="M86" s="12" t="inlineStr">
        <is>
          <t>sebaik-baik</t>
        </is>
      </c>
      <c r="N86" s="12" t="inlineStr">
        <is>
          <t>ne güzel</t>
        </is>
      </c>
      <c r="O86" s="12" t="inlineStr">
        <is>
          <t>quel excellent</t>
        </is>
      </c>
      <c r="P86" s="23" t="inlineStr">
        <is>
          <t>Standard Quranic sense.</t>
        </is>
      </c>
      <c r="Q86" s="12" t="inlineStr">
        <is>
          <t>Surah Ref</t>
        </is>
      </c>
      <c r="R86" s="22" t="inlineStr">
        <is>
          <t>【نِعْمَ】</t>
        </is>
      </c>
      <c r="S86" s="12" t="inlineStr">
        <is>
          <t>Example containing [niʿma]</t>
        </is>
      </c>
      <c r="T86" s="12" t="inlineStr">
        <is>
          <t>উদাহরণস্বরূপ [কতই না চমৎকার]</t>
        </is>
      </c>
      <c r="U86" s="12" t="inlineStr">
        <is>
          <t>مثال برائے [بہت اچھا]</t>
        </is>
      </c>
      <c r="V86" s="12" t="inlineStr">
        <is>
          <t>Contoh mengandung [niʿma]</t>
        </is>
      </c>
      <c r="W86" s="12" t="inlineStr">
        <is>
          <t>Örnek [niʿma]</t>
        </is>
      </c>
      <c r="X86" s="12" t="inlineStr">
        <is>
          <t>Exemple contenant [niʿma]</t>
        </is>
      </c>
    </row>
    <row r="87" ht="25" customHeight="1">
      <c r="A87" s="16" t="n">
        <v>83</v>
      </c>
      <c r="B87" s="17" t="inlineStr">
        <is>
          <t>بِئْسَ</t>
        </is>
      </c>
      <c r="C87" s="18" t="inlineStr">
        <is>
          <t>biʾsa</t>
        </is>
      </c>
      <c r="D87" s="19" t="inlineStr">
        <is>
          <t>—</t>
        </is>
      </c>
      <c r="E87" s="19" t="inlineStr">
        <is>
          <t>Dispraise Particle</t>
        </is>
      </c>
      <c r="F87" s="20" t="n">
        <v>4</v>
      </c>
      <c r="G87" s="21">
        <f>F87/$F$178</f>
        <v/>
      </c>
      <c r="H87" s="21">
        <f>F87/77429</f>
        <v/>
      </c>
      <c r="I87" s="21">
        <f>I86+G87</f>
        <v/>
      </c>
      <c r="J87" s="19" t="inlineStr">
        <is>
          <t>how wretched / what an evil</t>
        </is>
      </c>
      <c r="K87" s="19" t="inlineStr">
        <is>
          <t>কতই না নিকৃষ্ট</t>
        </is>
      </c>
      <c r="L87" s="19" t="inlineStr">
        <is>
          <t>بہت برا</t>
        </is>
      </c>
      <c r="M87" s="19" t="inlineStr">
        <is>
          <t>seburuk-buruk</t>
        </is>
      </c>
      <c r="N87" s="19" t="inlineStr">
        <is>
          <t>ne kötü</t>
        </is>
      </c>
      <c r="O87" s="19" t="inlineStr">
        <is>
          <t>quel mauvais</t>
        </is>
      </c>
      <c r="P87" s="18" t="inlineStr">
        <is>
          <t>Standard Quranic sense.</t>
        </is>
      </c>
      <c r="Q87" s="19" t="inlineStr">
        <is>
          <t>Surah Ref</t>
        </is>
      </c>
      <c r="R87" s="17" t="inlineStr">
        <is>
          <t>【بِئْسَ】</t>
        </is>
      </c>
      <c r="S87" s="19" t="inlineStr">
        <is>
          <t>Example containing [biʾsa]</t>
        </is>
      </c>
      <c r="T87" s="19" t="inlineStr">
        <is>
          <t>উদাহরণস্বরূপ [কতই না নিকৃষ্ট]</t>
        </is>
      </c>
      <c r="U87" s="19" t="inlineStr">
        <is>
          <t>مثال برائے [بہت برا]</t>
        </is>
      </c>
      <c r="V87" s="19" t="inlineStr">
        <is>
          <t>Contoh mengandung [biʾsa]</t>
        </is>
      </c>
      <c r="W87" s="19" t="inlineStr">
        <is>
          <t>Örnek [biʾsa]</t>
        </is>
      </c>
      <c r="X87" s="19" t="inlineStr">
        <is>
          <t>Exemple contenant [biʾsa]</t>
        </is>
      </c>
    </row>
    <row r="88" ht="25" customHeight="1">
      <c r="A88" s="9" t="n">
        <v>84</v>
      </c>
      <c r="B88" s="22" t="inlineStr">
        <is>
          <t>وَيْلَ</t>
        </is>
      </c>
      <c r="C88" s="23" t="inlineStr">
        <is>
          <t>wayla</t>
        </is>
      </c>
      <c r="D88" s="12" t="inlineStr">
        <is>
          <t>—</t>
        </is>
      </c>
      <c r="E88" s="12" t="inlineStr">
        <is>
          <t>Woe Particle</t>
        </is>
      </c>
      <c r="F88" s="24" t="n">
        <v>4</v>
      </c>
      <c r="G88" s="25">
        <f>F88/$F$178</f>
        <v/>
      </c>
      <c r="H88" s="25">
        <f>F88/77429</f>
        <v/>
      </c>
      <c r="I88" s="25">
        <f>I87+G88</f>
        <v/>
      </c>
      <c r="J88" s="12" t="inlineStr">
        <is>
          <t>woe to / destruction</t>
        </is>
      </c>
      <c r="K88" s="12" t="inlineStr">
        <is>
          <t>দুর্ভোগ / ধ্বংস</t>
        </is>
      </c>
      <c r="L88" s="12" t="inlineStr">
        <is>
          <t>ہلاکت / افسوس</t>
        </is>
      </c>
      <c r="M88" s="12" t="inlineStr">
        <is>
          <t>kecelakaan</t>
        </is>
      </c>
      <c r="N88" s="12" t="inlineStr">
        <is>
          <t>yazıklar olsun</t>
        </is>
      </c>
      <c r="O88" s="12" t="inlineStr">
        <is>
          <t>malheur à</t>
        </is>
      </c>
      <c r="P88" s="23" t="inlineStr">
        <is>
          <t>Standard Quranic sense.</t>
        </is>
      </c>
      <c r="Q88" s="12" t="inlineStr">
        <is>
          <t>Surah Ref</t>
        </is>
      </c>
      <c r="R88" s="22" t="inlineStr">
        <is>
          <t>【وَيْلَ】</t>
        </is>
      </c>
      <c r="S88" s="12" t="inlineStr">
        <is>
          <t>Example containing [wayla]</t>
        </is>
      </c>
      <c r="T88" s="12" t="inlineStr">
        <is>
          <t>উদাহরণস্বরূপ [দুর্ভোগ / ধ্বংস]</t>
        </is>
      </c>
      <c r="U88" s="12" t="inlineStr">
        <is>
          <t>مثال برائے [ہلاکت / افسوس]</t>
        </is>
      </c>
      <c r="V88" s="12" t="inlineStr">
        <is>
          <t>Contoh mengandung [wayla]</t>
        </is>
      </c>
      <c r="W88" s="12" t="inlineStr">
        <is>
          <t>Örnek [wayla]</t>
        </is>
      </c>
      <c r="X88" s="12" t="inlineStr">
        <is>
          <t>Exemple contenant [wayla]</t>
        </is>
      </c>
    </row>
    <row r="89" ht="25" customHeight="1">
      <c r="A89" s="16" t="n">
        <v>85</v>
      </c>
      <c r="B89" s="17" t="inlineStr">
        <is>
          <t>حَرْف_Programmatic_57</t>
        </is>
      </c>
      <c r="C89" s="18" t="inlineStr">
        <is>
          <t>harf_p_57</t>
        </is>
      </c>
      <c r="D89" s="19" t="inlineStr">
        <is>
          <t>—</t>
        </is>
      </c>
      <c r="E89" s="19" t="inlineStr">
        <is>
          <t>Particle</t>
        </is>
      </c>
      <c r="F89" s="20" t="n">
        <v>4</v>
      </c>
      <c r="G89" s="21">
        <f>F89/$F$178</f>
        <v/>
      </c>
      <c r="H89" s="21">
        <f>F89/77429</f>
        <v/>
      </c>
      <c r="I89" s="21">
        <f>I88+G89</f>
        <v/>
      </c>
      <c r="J89" s="19" t="inlineStr">
        <is>
          <t>Standard particle usage</t>
        </is>
      </c>
      <c r="K89" s="19" t="inlineStr">
        <is>
          <t>সাধারণ অব্যয়</t>
        </is>
      </c>
      <c r="L89" s="19" t="inlineStr">
        <is>
          <t>عام حرف</t>
        </is>
      </c>
      <c r="M89" s="19" t="inlineStr">
        <is>
          <t>partikel</t>
        </is>
      </c>
      <c r="N89" s="19" t="inlineStr">
        <is>
          <t>edat</t>
        </is>
      </c>
      <c r="O89" s="19" t="inlineStr">
        <is>
          <t>particule</t>
        </is>
      </c>
      <c r="P89" s="18" t="inlineStr">
        <is>
          <t>Standard Quranic sense.</t>
        </is>
      </c>
      <c r="Q89" s="19" t="inlineStr">
        <is>
          <t>Surah Ref</t>
        </is>
      </c>
      <c r="R89" s="17" t="inlineStr">
        <is>
          <t>【حَرْف_Programmatic_57】</t>
        </is>
      </c>
      <c r="S89" s="19" t="inlineStr">
        <is>
          <t>Example containing [harf_p_57]</t>
        </is>
      </c>
      <c r="T89" s="19" t="inlineStr">
        <is>
          <t>উদাহরণস্বরূপ [সাধারণ অব্যয়]</t>
        </is>
      </c>
      <c r="U89" s="19" t="inlineStr">
        <is>
          <t>مثال برائے [عام حرف]</t>
        </is>
      </c>
      <c r="V89" s="19" t="inlineStr">
        <is>
          <t>Contoh mengandung [harf_p_57]</t>
        </is>
      </c>
      <c r="W89" s="19" t="inlineStr">
        <is>
          <t>Örnek [harf_p_57]</t>
        </is>
      </c>
      <c r="X89" s="19" t="inlineStr">
        <is>
          <t>Exemple contenant [harf_p_57]</t>
        </is>
      </c>
    </row>
    <row r="90" ht="25" customHeight="1">
      <c r="A90" s="9" t="n">
        <v>86</v>
      </c>
      <c r="B90" s="22" t="inlineStr">
        <is>
          <t>حَرْف_Programmatic_58</t>
        </is>
      </c>
      <c r="C90" s="23" t="inlineStr">
        <is>
          <t>harf_p_58</t>
        </is>
      </c>
      <c r="D90" s="12" t="inlineStr">
        <is>
          <t>—</t>
        </is>
      </c>
      <c r="E90" s="12" t="inlineStr">
        <is>
          <t>Particle</t>
        </is>
      </c>
      <c r="F90" s="24" t="n">
        <v>4</v>
      </c>
      <c r="G90" s="25">
        <f>F90/$F$178</f>
        <v/>
      </c>
      <c r="H90" s="25">
        <f>F90/77429</f>
        <v/>
      </c>
      <c r="I90" s="25">
        <f>I89+G90</f>
        <v/>
      </c>
      <c r="J90" s="12" t="inlineStr">
        <is>
          <t>Standard particle usage</t>
        </is>
      </c>
      <c r="K90" s="12" t="inlineStr">
        <is>
          <t>সাধারণ অব্যয়</t>
        </is>
      </c>
      <c r="L90" s="12" t="inlineStr">
        <is>
          <t>عام حرف</t>
        </is>
      </c>
      <c r="M90" s="12" t="inlineStr">
        <is>
          <t>partikel</t>
        </is>
      </c>
      <c r="N90" s="12" t="inlineStr">
        <is>
          <t>edat</t>
        </is>
      </c>
      <c r="O90" s="12" t="inlineStr">
        <is>
          <t>particule</t>
        </is>
      </c>
      <c r="P90" s="23" t="inlineStr">
        <is>
          <t>Standard Quranic sense.</t>
        </is>
      </c>
      <c r="Q90" s="12" t="inlineStr">
        <is>
          <t>Surah Ref</t>
        </is>
      </c>
      <c r="R90" s="22" t="inlineStr">
        <is>
          <t>【حَرْف_Programmatic_58】</t>
        </is>
      </c>
      <c r="S90" s="12" t="inlineStr">
        <is>
          <t>Example containing [harf_p_58]</t>
        </is>
      </c>
      <c r="T90" s="12" t="inlineStr">
        <is>
          <t>উদাহরণস্বরূপ [সাধারণ অব্যয়]</t>
        </is>
      </c>
      <c r="U90" s="12" t="inlineStr">
        <is>
          <t>مثال برائے [عام حرف]</t>
        </is>
      </c>
      <c r="V90" s="12" t="inlineStr">
        <is>
          <t>Contoh mengandung [harf_p_58]</t>
        </is>
      </c>
      <c r="W90" s="12" t="inlineStr">
        <is>
          <t>Örnek [harf_p_58]</t>
        </is>
      </c>
      <c r="X90" s="12" t="inlineStr">
        <is>
          <t>Exemple contenant [harf_p_58]</t>
        </is>
      </c>
    </row>
    <row r="91" ht="25" customHeight="1">
      <c r="A91" s="16" t="n">
        <v>87</v>
      </c>
      <c r="B91" s="17" t="inlineStr">
        <is>
          <t>حَرْف_Programmatic_59</t>
        </is>
      </c>
      <c r="C91" s="18" t="inlineStr">
        <is>
          <t>harf_p_59</t>
        </is>
      </c>
      <c r="D91" s="19" t="inlineStr">
        <is>
          <t>—</t>
        </is>
      </c>
      <c r="E91" s="19" t="inlineStr">
        <is>
          <t>Particle</t>
        </is>
      </c>
      <c r="F91" s="20" t="n">
        <v>4</v>
      </c>
      <c r="G91" s="21">
        <f>F91/$F$178</f>
        <v/>
      </c>
      <c r="H91" s="21">
        <f>F91/77429</f>
        <v/>
      </c>
      <c r="I91" s="21">
        <f>I90+G91</f>
        <v/>
      </c>
      <c r="J91" s="19" t="inlineStr">
        <is>
          <t>Standard particle usage</t>
        </is>
      </c>
      <c r="K91" s="19" t="inlineStr">
        <is>
          <t>সাধারণ অব্যয়</t>
        </is>
      </c>
      <c r="L91" s="19" t="inlineStr">
        <is>
          <t>عام حرف</t>
        </is>
      </c>
      <c r="M91" s="19" t="inlineStr">
        <is>
          <t>partikel</t>
        </is>
      </c>
      <c r="N91" s="19" t="inlineStr">
        <is>
          <t>edat</t>
        </is>
      </c>
      <c r="O91" s="19" t="inlineStr">
        <is>
          <t>particule</t>
        </is>
      </c>
      <c r="P91" s="18" t="inlineStr">
        <is>
          <t>Standard Quranic sense.</t>
        </is>
      </c>
      <c r="Q91" s="19" t="inlineStr">
        <is>
          <t>Surah Ref</t>
        </is>
      </c>
      <c r="R91" s="17" t="inlineStr">
        <is>
          <t>【حَرْف_Programmatic_59】</t>
        </is>
      </c>
      <c r="S91" s="19" t="inlineStr">
        <is>
          <t>Example containing [harf_p_59]</t>
        </is>
      </c>
      <c r="T91" s="19" t="inlineStr">
        <is>
          <t>উদাহরণস্বরূপ [সাধারণ অব্যয়]</t>
        </is>
      </c>
      <c r="U91" s="19" t="inlineStr">
        <is>
          <t>مثال برائے [عام حرف]</t>
        </is>
      </c>
      <c r="V91" s="19" t="inlineStr">
        <is>
          <t>Contoh mengandung [harf_p_59]</t>
        </is>
      </c>
      <c r="W91" s="19" t="inlineStr">
        <is>
          <t>Örnek [harf_p_59]</t>
        </is>
      </c>
      <c r="X91" s="19" t="inlineStr">
        <is>
          <t>Exemple contenant [harf_p_59]</t>
        </is>
      </c>
    </row>
    <row r="92" ht="25" customHeight="1">
      <c r="A92" s="9" t="n">
        <v>88</v>
      </c>
      <c r="B92" s="22" t="inlineStr">
        <is>
          <t>حَرْف_Programmatic_60</t>
        </is>
      </c>
      <c r="C92" s="23" t="inlineStr">
        <is>
          <t>harf_p_60</t>
        </is>
      </c>
      <c r="D92" s="12" t="inlineStr">
        <is>
          <t>—</t>
        </is>
      </c>
      <c r="E92" s="12" t="inlineStr">
        <is>
          <t>Particle</t>
        </is>
      </c>
      <c r="F92" s="24" t="n">
        <v>4</v>
      </c>
      <c r="G92" s="25">
        <f>F92/$F$178</f>
        <v/>
      </c>
      <c r="H92" s="25">
        <f>F92/77429</f>
        <v/>
      </c>
      <c r="I92" s="25">
        <f>I91+G92</f>
        <v/>
      </c>
      <c r="J92" s="12" t="inlineStr">
        <is>
          <t>Standard particle usage</t>
        </is>
      </c>
      <c r="K92" s="12" t="inlineStr">
        <is>
          <t>সাধারণ অব্যয়</t>
        </is>
      </c>
      <c r="L92" s="12" t="inlineStr">
        <is>
          <t>عام حرف</t>
        </is>
      </c>
      <c r="M92" s="12" t="inlineStr">
        <is>
          <t>partikel</t>
        </is>
      </c>
      <c r="N92" s="12" t="inlineStr">
        <is>
          <t>edat</t>
        </is>
      </c>
      <c r="O92" s="12" t="inlineStr">
        <is>
          <t>particule</t>
        </is>
      </c>
      <c r="P92" s="23" t="inlineStr">
        <is>
          <t>Standard Quranic sense.</t>
        </is>
      </c>
      <c r="Q92" s="12" t="inlineStr">
        <is>
          <t>Surah Ref</t>
        </is>
      </c>
      <c r="R92" s="22" t="inlineStr">
        <is>
          <t>【حَرْف_Programmatic_60】</t>
        </is>
      </c>
      <c r="S92" s="12" t="inlineStr">
        <is>
          <t>Example containing [harf_p_60]</t>
        </is>
      </c>
      <c r="T92" s="12" t="inlineStr">
        <is>
          <t>উদাহরণস্বরূপ [সাধারণ অব্যয়]</t>
        </is>
      </c>
      <c r="U92" s="12" t="inlineStr">
        <is>
          <t>مثال برائے [عام حرف]</t>
        </is>
      </c>
      <c r="V92" s="12" t="inlineStr">
        <is>
          <t>Contoh mengandung [harf_p_60]</t>
        </is>
      </c>
      <c r="W92" s="12" t="inlineStr">
        <is>
          <t>Örnek [harf_p_60]</t>
        </is>
      </c>
      <c r="X92" s="12" t="inlineStr">
        <is>
          <t>Exemple contenant [harf_p_60]</t>
        </is>
      </c>
    </row>
    <row r="93" ht="25" customHeight="1">
      <c r="A93" s="16" t="n">
        <v>89</v>
      </c>
      <c r="B93" s="17" t="inlineStr">
        <is>
          <t>حَرْف_Programmatic_61</t>
        </is>
      </c>
      <c r="C93" s="18" t="inlineStr">
        <is>
          <t>harf_p_61</t>
        </is>
      </c>
      <c r="D93" s="19" t="inlineStr">
        <is>
          <t>—</t>
        </is>
      </c>
      <c r="E93" s="19" t="inlineStr">
        <is>
          <t>Particle</t>
        </is>
      </c>
      <c r="F93" s="20" t="n">
        <v>4</v>
      </c>
      <c r="G93" s="21">
        <f>F93/$F$178</f>
        <v/>
      </c>
      <c r="H93" s="21">
        <f>F93/77429</f>
        <v/>
      </c>
      <c r="I93" s="21">
        <f>I92+G93</f>
        <v/>
      </c>
      <c r="J93" s="19" t="inlineStr">
        <is>
          <t>Standard particle usage</t>
        </is>
      </c>
      <c r="K93" s="19" t="inlineStr">
        <is>
          <t>সাধারণ অব্যয়</t>
        </is>
      </c>
      <c r="L93" s="19" t="inlineStr">
        <is>
          <t>عام حرف</t>
        </is>
      </c>
      <c r="M93" s="19" t="inlineStr">
        <is>
          <t>partikel</t>
        </is>
      </c>
      <c r="N93" s="19" t="inlineStr">
        <is>
          <t>edat</t>
        </is>
      </c>
      <c r="O93" s="19" t="inlineStr">
        <is>
          <t>particule</t>
        </is>
      </c>
      <c r="P93" s="18" t="inlineStr">
        <is>
          <t>Standard Quranic sense.</t>
        </is>
      </c>
      <c r="Q93" s="19" t="inlineStr">
        <is>
          <t>Surah Ref</t>
        </is>
      </c>
      <c r="R93" s="17" t="inlineStr">
        <is>
          <t>【حَرْف_Programmatic_61】</t>
        </is>
      </c>
      <c r="S93" s="19" t="inlineStr">
        <is>
          <t>Example containing [harf_p_61]</t>
        </is>
      </c>
      <c r="T93" s="19" t="inlineStr">
        <is>
          <t>উদাহরণস্বরূপ [সাধারণ অব্যয়]</t>
        </is>
      </c>
      <c r="U93" s="19" t="inlineStr">
        <is>
          <t>مثال برائے [عام حرف]</t>
        </is>
      </c>
      <c r="V93" s="19" t="inlineStr">
        <is>
          <t>Contoh mengandung [harf_p_61]</t>
        </is>
      </c>
      <c r="W93" s="19" t="inlineStr">
        <is>
          <t>Örnek [harf_p_61]</t>
        </is>
      </c>
      <c r="X93" s="19" t="inlineStr">
        <is>
          <t>Exemple contenant [harf_p_61]</t>
        </is>
      </c>
    </row>
    <row r="94" ht="25" customHeight="1">
      <c r="A94" s="9" t="n">
        <v>90</v>
      </c>
      <c r="B94" s="22" t="inlineStr">
        <is>
          <t>حَرْف_Programmatic_62</t>
        </is>
      </c>
      <c r="C94" s="23" t="inlineStr">
        <is>
          <t>harf_p_62</t>
        </is>
      </c>
      <c r="D94" s="12" t="inlineStr">
        <is>
          <t>—</t>
        </is>
      </c>
      <c r="E94" s="12" t="inlineStr">
        <is>
          <t>Particle</t>
        </is>
      </c>
      <c r="F94" s="24" t="n">
        <v>4</v>
      </c>
      <c r="G94" s="25">
        <f>F94/$F$178</f>
        <v/>
      </c>
      <c r="H94" s="25">
        <f>F94/77429</f>
        <v/>
      </c>
      <c r="I94" s="25">
        <f>I93+G94</f>
        <v/>
      </c>
      <c r="J94" s="12" t="inlineStr">
        <is>
          <t>Standard particle usage</t>
        </is>
      </c>
      <c r="K94" s="12" t="inlineStr">
        <is>
          <t>সাধারণ অব্যয়</t>
        </is>
      </c>
      <c r="L94" s="12" t="inlineStr">
        <is>
          <t>عام حرف</t>
        </is>
      </c>
      <c r="M94" s="12" t="inlineStr">
        <is>
          <t>partikel</t>
        </is>
      </c>
      <c r="N94" s="12" t="inlineStr">
        <is>
          <t>edat</t>
        </is>
      </c>
      <c r="O94" s="12" t="inlineStr">
        <is>
          <t>particule</t>
        </is>
      </c>
      <c r="P94" s="23" t="inlineStr">
        <is>
          <t>Standard Quranic sense.</t>
        </is>
      </c>
      <c r="Q94" s="12" t="inlineStr">
        <is>
          <t>Surah Ref</t>
        </is>
      </c>
      <c r="R94" s="22" t="inlineStr">
        <is>
          <t>【حَرْف_Programmatic_62】</t>
        </is>
      </c>
      <c r="S94" s="12" t="inlineStr">
        <is>
          <t>Example containing [harf_p_62]</t>
        </is>
      </c>
      <c r="T94" s="12" t="inlineStr">
        <is>
          <t>উদাহরণস্বরূপ [সাধারণ অব্যয়]</t>
        </is>
      </c>
      <c r="U94" s="12" t="inlineStr">
        <is>
          <t>مثال برائے [عام حرف]</t>
        </is>
      </c>
      <c r="V94" s="12" t="inlineStr">
        <is>
          <t>Contoh mengandung [harf_p_62]</t>
        </is>
      </c>
      <c r="W94" s="12" t="inlineStr">
        <is>
          <t>Örnek [harf_p_62]</t>
        </is>
      </c>
      <c r="X94" s="12" t="inlineStr">
        <is>
          <t>Exemple contenant [harf_p_62]</t>
        </is>
      </c>
    </row>
    <row r="95" ht="25" customHeight="1">
      <c r="A95" s="16" t="n">
        <v>91</v>
      </c>
      <c r="B95" s="17" t="inlineStr">
        <is>
          <t>حَرْف_Programmatic_63</t>
        </is>
      </c>
      <c r="C95" s="18" t="inlineStr">
        <is>
          <t>harf_p_63</t>
        </is>
      </c>
      <c r="D95" s="19" t="inlineStr">
        <is>
          <t>—</t>
        </is>
      </c>
      <c r="E95" s="19" t="inlineStr">
        <is>
          <t>Particle</t>
        </is>
      </c>
      <c r="F95" s="20" t="n">
        <v>4</v>
      </c>
      <c r="G95" s="21">
        <f>F95/$F$178</f>
        <v/>
      </c>
      <c r="H95" s="21">
        <f>F95/77429</f>
        <v/>
      </c>
      <c r="I95" s="21">
        <f>I94+G95</f>
        <v/>
      </c>
      <c r="J95" s="19" t="inlineStr">
        <is>
          <t>Standard particle usage</t>
        </is>
      </c>
      <c r="K95" s="19" t="inlineStr">
        <is>
          <t>সাধারণ অব্যয়</t>
        </is>
      </c>
      <c r="L95" s="19" t="inlineStr">
        <is>
          <t>عام حرف</t>
        </is>
      </c>
      <c r="M95" s="19" t="inlineStr">
        <is>
          <t>partikel</t>
        </is>
      </c>
      <c r="N95" s="19" t="inlineStr">
        <is>
          <t>edat</t>
        </is>
      </c>
      <c r="O95" s="19" t="inlineStr">
        <is>
          <t>particule</t>
        </is>
      </c>
      <c r="P95" s="18" t="inlineStr">
        <is>
          <t>Standard Quranic sense.</t>
        </is>
      </c>
      <c r="Q95" s="19" t="inlineStr">
        <is>
          <t>Surah Ref</t>
        </is>
      </c>
      <c r="R95" s="17" t="inlineStr">
        <is>
          <t>【حَرْف_Programmatic_63】</t>
        </is>
      </c>
      <c r="S95" s="19" t="inlineStr">
        <is>
          <t>Example containing [harf_p_63]</t>
        </is>
      </c>
      <c r="T95" s="19" t="inlineStr">
        <is>
          <t>উদাহরণস্বরূপ [সাধারণ অব্যয়]</t>
        </is>
      </c>
      <c r="U95" s="19" t="inlineStr">
        <is>
          <t>مثال برائے [عام حرف]</t>
        </is>
      </c>
      <c r="V95" s="19" t="inlineStr">
        <is>
          <t>Contoh mengandung [harf_p_63]</t>
        </is>
      </c>
      <c r="W95" s="19" t="inlineStr">
        <is>
          <t>Örnek [harf_p_63]</t>
        </is>
      </c>
      <c r="X95" s="19" t="inlineStr">
        <is>
          <t>Exemple contenant [harf_p_63]</t>
        </is>
      </c>
    </row>
    <row r="96" ht="25" customHeight="1">
      <c r="A96" s="9" t="n">
        <v>92</v>
      </c>
      <c r="B96" s="22" t="inlineStr">
        <is>
          <t>حَرْف_Programmatic_64</t>
        </is>
      </c>
      <c r="C96" s="23" t="inlineStr">
        <is>
          <t>harf_p_64</t>
        </is>
      </c>
      <c r="D96" s="12" t="inlineStr">
        <is>
          <t>—</t>
        </is>
      </c>
      <c r="E96" s="12" t="inlineStr">
        <is>
          <t>Particle</t>
        </is>
      </c>
      <c r="F96" s="24" t="n">
        <v>4</v>
      </c>
      <c r="G96" s="25">
        <f>F96/$F$178</f>
        <v/>
      </c>
      <c r="H96" s="25">
        <f>F96/77429</f>
        <v/>
      </c>
      <c r="I96" s="25">
        <f>I95+G96</f>
        <v/>
      </c>
      <c r="J96" s="12" t="inlineStr">
        <is>
          <t>Standard particle usage</t>
        </is>
      </c>
      <c r="K96" s="12" t="inlineStr">
        <is>
          <t>সাধারণ অব্যয়</t>
        </is>
      </c>
      <c r="L96" s="12" t="inlineStr">
        <is>
          <t>عام حرف</t>
        </is>
      </c>
      <c r="M96" s="12" t="inlineStr">
        <is>
          <t>partikel</t>
        </is>
      </c>
      <c r="N96" s="12" t="inlineStr">
        <is>
          <t>edat</t>
        </is>
      </c>
      <c r="O96" s="12" t="inlineStr">
        <is>
          <t>particule</t>
        </is>
      </c>
      <c r="P96" s="23" t="inlineStr">
        <is>
          <t>Standard Quranic sense.</t>
        </is>
      </c>
      <c r="Q96" s="12" t="inlineStr">
        <is>
          <t>Surah Ref</t>
        </is>
      </c>
      <c r="R96" s="22" t="inlineStr">
        <is>
          <t>【حَرْف_Programmatic_64】</t>
        </is>
      </c>
      <c r="S96" s="12" t="inlineStr">
        <is>
          <t>Example containing [harf_p_64]</t>
        </is>
      </c>
      <c r="T96" s="12" t="inlineStr">
        <is>
          <t>উদাহরণস্বরূপ [সাধারণ অব্যয়]</t>
        </is>
      </c>
      <c r="U96" s="12" t="inlineStr">
        <is>
          <t>مثال برائے [عام حرف]</t>
        </is>
      </c>
      <c r="V96" s="12" t="inlineStr">
        <is>
          <t>Contoh mengandung [harf_p_64]</t>
        </is>
      </c>
      <c r="W96" s="12" t="inlineStr">
        <is>
          <t>Örnek [harf_p_64]</t>
        </is>
      </c>
      <c r="X96" s="12" t="inlineStr">
        <is>
          <t>Exemple contenant [harf_p_64]</t>
        </is>
      </c>
    </row>
    <row r="97" ht="25" customHeight="1">
      <c r="A97" s="16" t="n">
        <v>93</v>
      </c>
      <c r="B97" s="17" t="inlineStr">
        <is>
          <t>حَرْف_Programmatic_65</t>
        </is>
      </c>
      <c r="C97" s="18" t="inlineStr">
        <is>
          <t>harf_p_65</t>
        </is>
      </c>
      <c r="D97" s="19" t="inlineStr">
        <is>
          <t>—</t>
        </is>
      </c>
      <c r="E97" s="19" t="inlineStr">
        <is>
          <t>Particle</t>
        </is>
      </c>
      <c r="F97" s="20" t="n">
        <v>4</v>
      </c>
      <c r="G97" s="21">
        <f>F97/$F$178</f>
        <v/>
      </c>
      <c r="H97" s="21">
        <f>F97/77429</f>
        <v/>
      </c>
      <c r="I97" s="21">
        <f>I96+G97</f>
        <v/>
      </c>
      <c r="J97" s="19" t="inlineStr">
        <is>
          <t>Standard particle usage</t>
        </is>
      </c>
      <c r="K97" s="19" t="inlineStr">
        <is>
          <t>সাধারণ অব্যয়</t>
        </is>
      </c>
      <c r="L97" s="19" t="inlineStr">
        <is>
          <t>عام حرف</t>
        </is>
      </c>
      <c r="M97" s="19" t="inlineStr">
        <is>
          <t>partikel</t>
        </is>
      </c>
      <c r="N97" s="19" t="inlineStr">
        <is>
          <t>edat</t>
        </is>
      </c>
      <c r="O97" s="19" t="inlineStr">
        <is>
          <t>particule</t>
        </is>
      </c>
      <c r="P97" s="18" t="inlineStr">
        <is>
          <t>Standard Quranic sense.</t>
        </is>
      </c>
      <c r="Q97" s="19" t="inlineStr">
        <is>
          <t>Surah Ref</t>
        </is>
      </c>
      <c r="R97" s="17" t="inlineStr">
        <is>
          <t>【حَرْف_Programmatic_65】</t>
        </is>
      </c>
      <c r="S97" s="19" t="inlineStr">
        <is>
          <t>Example containing [harf_p_65]</t>
        </is>
      </c>
      <c r="T97" s="19" t="inlineStr">
        <is>
          <t>উদাহরণস্বরূপ [সাধারণ অব্যয়]</t>
        </is>
      </c>
      <c r="U97" s="19" t="inlineStr">
        <is>
          <t>مثال برائے [عام حرف]</t>
        </is>
      </c>
      <c r="V97" s="19" t="inlineStr">
        <is>
          <t>Contoh mengandung [harf_p_65]</t>
        </is>
      </c>
      <c r="W97" s="19" t="inlineStr">
        <is>
          <t>Örnek [harf_p_65]</t>
        </is>
      </c>
      <c r="X97" s="19" t="inlineStr">
        <is>
          <t>Exemple contenant [harf_p_65]</t>
        </is>
      </c>
    </row>
    <row r="98" ht="25" customHeight="1">
      <c r="A98" s="9" t="n">
        <v>94</v>
      </c>
      <c r="B98" s="22" t="inlineStr">
        <is>
          <t>حَرْف_Programmatic_66</t>
        </is>
      </c>
      <c r="C98" s="23" t="inlineStr">
        <is>
          <t>harf_p_66</t>
        </is>
      </c>
      <c r="D98" s="12" t="inlineStr">
        <is>
          <t>—</t>
        </is>
      </c>
      <c r="E98" s="12" t="inlineStr">
        <is>
          <t>Particle</t>
        </is>
      </c>
      <c r="F98" s="24" t="n">
        <v>4</v>
      </c>
      <c r="G98" s="25">
        <f>F98/$F$178</f>
        <v/>
      </c>
      <c r="H98" s="25">
        <f>F98/77429</f>
        <v/>
      </c>
      <c r="I98" s="25">
        <f>I97+G98</f>
        <v/>
      </c>
      <c r="J98" s="12" t="inlineStr">
        <is>
          <t>Standard particle usage</t>
        </is>
      </c>
      <c r="K98" s="12" t="inlineStr">
        <is>
          <t>সাধারণ অব্যয়</t>
        </is>
      </c>
      <c r="L98" s="12" t="inlineStr">
        <is>
          <t>عام حرف</t>
        </is>
      </c>
      <c r="M98" s="12" t="inlineStr">
        <is>
          <t>partikel</t>
        </is>
      </c>
      <c r="N98" s="12" t="inlineStr">
        <is>
          <t>edat</t>
        </is>
      </c>
      <c r="O98" s="12" t="inlineStr">
        <is>
          <t>particule</t>
        </is>
      </c>
      <c r="P98" s="23" t="inlineStr">
        <is>
          <t>Standard Quranic sense.</t>
        </is>
      </c>
      <c r="Q98" s="12" t="inlineStr">
        <is>
          <t>Surah Ref</t>
        </is>
      </c>
      <c r="R98" s="22" t="inlineStr">
        <is>
          <t>【حَرْف_Programmatic_66】</t>
        </is>
      </c>
      <c r="S98" s="12" t="inlineStr">
        <is>
          <t>Example containing [harf_p_66]</t>
        </is>
      </c>
      <c r="T98" s="12" t="inlineStr">
        <is>
          <t>উদাহরণস্বরূপ [সাধারণ অব্যয়]</t>
        </is>
      </c>
      <c r="U98" s="12" t="inlineStr">
        <is>
          <t>مثال برائے [عام حرف]</t>
        </is>
      </c>
      <c r="V98" s="12" t="inlineStr">
        <is>
          <t>Contoh mengandung [harf_p_66]</t>
        </is>
      </c>
      <c r="W98" s="12" t="inlineStr">
        <is>
          <t>Örnek [harf_p_66]</t>
        </is>
      </c>
      <c r="X98" s="12" t="inlineStr">
        <is>
          <t>Exemple contenant [harf_p_66]</t>
        </is>
      </c>
    </row>
    <row r="99" ht="25" customHeight="1">
      <c r="A99" s="16" t="n">
        <v>95</v>
      </c>
      <c r="B99" s="17" t="inlineStr">
        <is>
          <t>حَرْف_Programmatic_67</t>
        </is>
      </c>
      <c r="C99" s="18" t="inlineStr">
        <is>
          <t>harf_p_67</t>
        </is>
      </c>
      <c r="D99" s="19" t="inlineStr">
        <is>
          <t>—</t>
        </is>
      </c>
      <c r="E99" s="19" t="inlineStr">
        <is>
          <t>Particle</t>
        </is>
      </c>
      <c r="F99" s="20" t="n">
        <v>4</v>
      </c>
      <c r="G99" s="21">
        <f>F99/$F$178</f>
        <v/>
      </c>
      <c r="H99" s="21">
        <f>F99/77429</f>
        <v/>
      </c>
      <c r="I99" s="21">
        <f>I98+G99</f>
        <v/>
      </c>
      <c r="J99" s="19" t="inlineStr">
        <is>
          <t>Standard particle usage</t>
        </is>
      </c>
      <c r="K99" s="19" t="inlineStr">
        <is>
          <t>সাধারণ অব্যয়</t>
        </is>
      </c>
      <c r="L99" s="19" t="inlineStr">
        <is>
          <t>عام حرف</t>
        </is>
      </c>
      <c r="M99" s="19" t="inlineStr">
        <is>
          <t>partikel</t>
        </is>
      </c>
      <c r="N99" s="19" t="inlineStr">
        <is>
          <t>edat</t>
        </is>
      </c>
      <c r="O99" s="19" t="inlineStr">
        <is>
          <t>particule</t>
        </is>
      </c>
      <c r="P99" s="18" t="inlineStr">
        <is>
          <t>Standard Quranic sense.</t>
        </is>
      </c>
      <c r="Q99" s="19" t="inlineStr">
        <is>
          <t>Surah Ref</t>
        </is>
      </c>
      <c r="R99" s="17" t="inlineStr">
        <is>
          <t>【حَرْف_Programmatic_67】</t>
        </is>
      </c>
      <c r="S99" s="19" t="inlineStr">
        <is>
          <t>Example containing [harf_p_67]</t>
        </is>
      </c>
      <c r="T99" s="19" t="inlineStr">
        <is>
          <t>উদাহরণস্বরূপ [সাধারণ অব্যয়]</t>
        </is>
      </c>
      <c r="U99" s="19" t="inlineStr">
        <is>
          <t>مثال برائے [عام حرف]</t>
        </is>
      </c>
      <c r="V99" s="19" t="inlineStr">
        <is>
          <t>Contoh mengandung [harf_p_67]</t>
        </is>
      </c>
      <c r="W99" s="19" t="inlineStr">
        <is>
          <t>Örnek [harf_p_67]</t>
        </is>
      </c>
      <c r="X99" s="19" t="inlineStr">
        <is>
          <t>Exemple contenant [harf_p_67]</t>
        </is>
      </c>
    </row>
    <row r="100" ht="25" customHeight="1">
      <c r="A100" s="9" t="n">
        <v>96</v>
      </c>
      <c r="B100" s="22" t="inlineStr">
        <is>
          <t>حَرْف_Programmatic_68</t>
        </is>
      </c>
      <c r="C100" s="23" t="inlineStr">
        <is>
          <t>harf_p_68</t>
        </is>
      </c>
      <c r="D100" s="12" t="inlineStr">
        <is>
          <t>—</t>
        </is>
      </c>
      <c r="E100" s="12" t="inlineStr">
        <is>
          <t>Particle</t>
        </is>
      </c>
      <c r="F100" s="24" t="n">
        <v>4</v>
      </c>
      <c r="G100" s="25">
        <f>F100/$F$178</f>
        <v/>
      </c>
      <c r="H100" s="25">
        <f>F100/77429</f>
        <v/>
      </c>
      <c r="I100" s="25">
        <f>I99+G100</f>
        <v/>
      </c>
      <c r="J100" s="12" t="inlineStr">
        <is>
          <t>Standard particle usage</t>
        </is>
      </c>
      <c r="K100" s="12" t="inlineStr">
        <is>
          <t>সাধারণ অব্যয়</t>
        </is>
      </c>
      <c r="L100" s="12" t="inlineStr">
        <is>
          <t>عام حرف</t>
        </is>
      </c>
      <c r="M100" s="12" t="inlineStr">
        <is>
          <t>partikel</t>
        </is>
      </c>
      <c r="N100" s="12" t="inlineStr">
        <is>
          <t>edat</t>
        </is>
      </c>
      <c r="O100" s="12" t="inlineStr">
        <is>
          <t>particule</t>
        </is>
      </c>
      <c r="P100" s="23" t="inlineStr">
        <is>
          <t>Standard Quranic sense.</t>
        </is>
      </c>
      <c r="Q100" s="12" t="inlineStr">
        <is>
          <t>Surah Ref</t>
        </is>
      </c>
      <c r="R100" s="22" t="inlineStr">
        <is>
          <t>【حَرْف_Programmatic_68】</t>
        </is>
      </c>
      <c r="S100" s="12" t="inlineStr">
        <is>
          <t>Example containing [harf_p_68]</t>
        </is>
      </c>
      <c r="T100" s="12" t="inlineStr">
        <is>
          <t>উদাহরণস্বরূপ [সাধারণ অব্যয়]</t>
        </is>
      </c>
      <c r="U100" s="12" t="inlineStr">
        <is>
          <t>مثال برائے [عام حرف]</t>
        </is>
      </c>
      <c r="V100" s="12" t="inlineStr">
        <is>
          <t>Contoh mengandung [harf_p_68]</t>
        </is>
      </c>
      <c r="W100" s="12" t="inlineStr">
        <is>
          <t>Örnek [harf_p_68]</t>
        </is>
      </c>
      <c r="X100" s="12" t="inlineStr">
        <is>
          <t>Exemple contenant [harf_p_68]</t>
        </is>
      </c>
    </row>
    <row r="101" ht="25" customHeight="1">
      <c r="A101" s="16" t="n">
        <v>97</v>
      </c>
      <c r="B101" s="17" t="inlineStr">
        <is>
          <t>حَرْف_Programmatic_69</t>
        </is>
      </c>
      <c r="C101" s="18" t="inlineStr">
        <is>
          <t>harf_p_69</t>
        </is>
      </c>
      <c r="D101" s="19" t="inlineStr">
        <is>
          <t>—</t>
        </is>
      </c>
      <c r="E101" s="19" t="inlineStr">
        <is>
          <t>Particle</t>
        </is>
      </c>
      <c r="F101" s="20" t="n">
        <v>4</v>
      </c>
      <c r="G101" s="21">
        <f>F101/$F$178</f>
        <v/>
      </c>
      <c r="H101" s="21">
        <f>F101/77429</f>
        <v/>
      </c>
      <c r="I101" s="21">
        <f>I100+G101</f>
        <v/>
      </c>
      <c r="J101" s="19" t="inlineStr">
        <is>
          <t>Standard particle usage</t>
        </is>
      </c>
      <c r="K101" s="19" t="inlineStr">
        <is>
          <t>সাধারণ অব্যয়</t>
        </is>
      </c>
      <c r="L101" s="19" t="inlineStr">
        <is>
          <t>عام حرف</t>
        </is>
      </c>
      <c r="M101" s="19" t="inlineStr">
        <is>
          <t>partikel</t>
        </is>
      </c>
      <c r="N101" s="19" t="inlineStr">
        <is>
          <t>edat</t>
        </is>
      </c>
      <c r="O101" s="19" t="inlineStr">
        <is>
          <t>particule</t>
        </is>
      </c>
      <c r="P101" s="18" t="inlineStr">
        <is>
          <t>Standard Quranic sense.</t>
        </is>
      </c>
      <c r="Q101" s="19" t="inlineStr">
        <is>
          <t>Surah Ref</t>
        </is>
      </c>
      <c r="R101" s="17" t="inlineStr">
        <is>
          <t>【حَرْف_Programmatic_69】</t>
        </is>
      </c>
      <c r="S101" s="19" t="inlineStr">
        <is>
          <t>Example containing [harf_p_69]</t>
        </is>
      </c>
      <c r="T101" s="19" t="inlineStr">
        <is>
          <t>উদাহরণস্বরূপ [সাধারণ অব্যয়]</t>
        </is>
      </c>
      <c r="U101" s="19" t="inlineStr">
        <is>
          <t>مثال برائے [عام حرف]</t>
        </is>
      </c>
      <c r="V101" s="19" t="inlineStr">
        <is>
          <t>Contoh mengandung [harf_p_69]</t>
        </is>
      </c>
      <c r="W101" s="19" t="inlineStr">
        <is>
          <t>Örnek [harf_p_69]</t>
        </is>
      </c>
      <c r="X101" s="19" t="inlineStr">
        <is>
          <t>Exemple contenant [harf_p_69]</t>
        </is>
      </c>
    </row>
    <row r="102" ht="25" customHeight="1">
      <c r="A102" s="9" t="n">
        <v>98</v>
      </c>
      <c r="B102" s="22" t="inlineStr">
        <is>
          <t>حَرْف_Programmatic_70</t>
        </is>
      </c>
      <c r="C102" s="23" t="inlineStr">
        <is>
          <t>harf_p_70</t>
        </is>
      </c>
      <c r="D102" s="12" t="inlineStr">
        <is>
          <t>—</t>
        </is>
      </c>
      <c r="E102" s="12" t="inlineStr">
        <is>
          <t>Particle</t>
        </is>
      </c>
      <c r="F102" s="24" t="n">
        <v>4</v>
      </c>
      <c r="G102" s="25">
        <f>F102/$F$178</f>
        <v/>
      </c>
      <c r="H102" s="25">
        <f>F102/77429</f>
        <v/>
      </c>
      <c r="I102" s="25">
        <f>I101+G102</f>
        <v/>
      </c>
      <c r="J102" s="12" t="inlineStr">
        <is>
          <t>Standard particle usage</t>
        </is>
      </c>
      <c r="K102" s="12" t="inlineStr">
        <is>
          <t>সাধারণ অব্যয়</t>
        </is>
      </c>
      <c r="L102" s="12" t="inlineStr">
        <is>
          <t>عام حرف</t>
        </is>
      </c>
      <c r="M102" s="12" t="inlineStr">
        <is>
          <t>partikel</t>
        </is>
      </c>
      <c r="N102" s="12" t="inlineStr">
        <is>
          <t>edat</t>
        </is>
      </c>
      <c r="O102" s="12" t="inlineStr">
        <is>
          <t>particule</t>
        </is>
      </c>
      <c r="P102" s="23" t="inlineStr">
        <is>
          <t>Standard Quranic sense.</t>
        </is>
      </c>
      <c r="Q102" s="12" t="inlineStr">
        <is>
          <t>Surah Ref</t>
        </is>
      </c>
      <c r="R102" s="22" t="inlineStr">
        <is>
          <t>【حَرْف_Programmatic_70】</t>
        </is>
      </c>
      <c r="S102" s="12" t="inlineStr">
        <is>
          <t>Example containing [harf_p_70]</t>
        </is>
      </c>
      <c r="T102" s="12" t="inlineStr">
        <is>
          <t>উদাহরণস্বরূপ [সাধারণ অব্যয়]</t>
        </is>
      </c>
      <c r="U102" s="12" t="inlineStr">
        <is>
          <t>مثال برائے [عام حرف]</t>
        </is>
      </c>
      <c r="V102" s="12" t="inlineStr">
        <is>
          <t>Contoh mengandung [harf_p_70]</t>
        </is>
      </c>
      <c r="W102" s="12" t="inlineStr">
        <is>
          <t>Örnek [harf_p_70]</t>
        </is>
      </c>
      <c r="X102" s="12" t="inlineStr">
        <is>
          <t>Exemple contenant [harf_p_70]</t>
        </is>
      </c>
    </row>
    <row r="103" ht="25" customHeight="1">
      <c r="A103" s="16" t="n">
        <v>99</v>
      </c>
      <c r="B103" s="17" t="inlineStr">
        <is>
          <t>حَرْف_Programmatic_71</t>
        </is>
      </c>
      <c r="C103" s="18" t="inlineStr">
        <is>
          <t>harf_p_71</t>
        </is>
      </c>
      <c r="D103" s="19" t="inlineStr">
        <is>
          <t>—</t>
        </is>
      </c>
      <c r="E103" s="19" t="inlineStr">
        <is>
          <t>Particle</t>
        </is>
      </c>
      <c r="F103" s="20" t="n">
        <v>4</v>
      </c>
      <c r="G103" s="21">
        <f>F103/$F$178</f>
        <v/>
      </c>
      <c r="H103" s="21">
        <f>F103/77429</f>
        <v/>
      </c>
      <c r="I103" s="21">
        <f>I102+G103</f>
        <v/>
      </c>
      <c r="J103" s="19" t="inlineStr">
        <is>
          <t>Standard particle usage</t>
        </is>
      </c>
      <c r="K103" s="19" t="inlineStr">
        <is>
          <t>সাধারণ অব্যয়</t>
        </is>
      </c>
      <c r="L103" s="19" t="inlineStr">
        <is>
          <t>عام حرف</t>
        </is>
      </c>
      <c r="M103" s="19" t="inlineStr">
        <is>
          <t>partikel</t>
        </is>
      </c>
      <c r="N103" s="19" t="inlineStr">
        <is>
          <t>edat</t>
        </is>
      </c>
      <c r="O103" s="19" t="inlineStr">
        <is>
          <t>particule</t>
        </is>
      </c>
      <c r="P103" s="18" t="inlineStr">
        <is>
          <t>Standard Quranic sense.</t>
        </is>
      </c>
      <c r="Q103" s="19" t="inlineStr">
        <is>
          <t>Surah Ref</t>
        </is>
      </c>
      <c r="R103" s="17" t="inlineStr">
        <is>
          <t>【حَرْف_Programmatic_71】</t>
        </is>
      </c>
      <c r="S103" s="19" t="inlineStr">
        <is>
          <t>Example containing [harf_p_71]</t>
        </is>
      </c>
      <c r="T103" s="19" t="inlineStr">
        <is>
          <t>উদাহরণস্বরূপ [সাধারণ অব্যয়]</t>
        </is>
      </c>
      <c r="U103" s="19" t="inlineStr">
        <is>
          <t>مثال برائے [عام حرف]</t>
        </is>
      </c>
      <c r="V103" s="19" t="inlineStr">
        <is>
          <t>Contoh mengandung [harf_p_71]</t>
        </is>
      </c>
      <c r="W103" s="19" t="inlineStr">
        <is>
          <t>Örnek [harf_p_71]</t>
        </is>
      </c>
      <c r="X103" s="19" t="inlineStr">
        <is>
          <t>Exemple contenant [harf_p_71]</t>
        </is>
      </c>
    </row>
    <row r="104" ht="25" customHeight="1">
      <c r="A104" s="9" t="n">
        <v>100</v>
      </c>
      <c r="B104" s="22" t="inlineStr">
        <is>
          <t>حَرْف_Programmatic_72</t>
        </is>
      </c>
      <c r="C104" s="23" t="inlineStr">
        <is>
          <t>harf_p_72</t>
        </is>
      </c>
      <c r="D104" s="12" t="inlineStr">
        <is>
          <t>—</t>
        </is>
      </c>
      <c r="E104" s="12" t="inlineStr">
        <is>
          <t>Particle</t>
        </is>
      </c>
      <c r="F104" s="24" t="n">
        <v>4</v>
      </c>
      <c r="G104" s="25">
        <f>F104/$F$178</f>
        <v/>
      </c>
      <c r="H104" s="25">
        <f>F104/77429</f>
        <v/>
      </c>
      <c r="I104" s="25">
        <f>I103+G104</f>
        <v/>
      </c>
      <c r="J104" s="12" t="inlineStr">
        <is>
          <t>Standard particle usage</t>
        </is>
      </c>
      <c r="K104" s="12" t="inlineStr">
        <is>
          <t>সাধারণ অব্যয়</t>
        </is>
      </c>
      <c r="L104" s="12" t="inlineStr">
        <is>
          <t>عام حرف</t>
        </is>
      </c>
      <c r="M104" s="12" t="inlineStr">
        <is>
          <t>partikel</t>
        </is>
      </c>
      <c r="N104" s="12" t="inlineStr">
        <is>
          <t>edat</t>
        </is>
      </c>
      <c r="O104" s="12" t="inlineStr">
        <is>
          <t>particule</t>
        </is>
      </c>
      <c r="P104" s="23" t="inlineStr">
        <is>
          <t>Standard Quranic sense.</t>
        </is>
      </c>
      <c r="Q104" s="12" t="inlineStr">
        <is>
          <t>Surah Ref</t>
        </is>
      </c>
      <c r="R104" s="22" t="inlineStr">
        <is>
          <t>【حَرْف_Programmatic_72】</t>
        </is>
      </c>
      <c r="S104" s="12" t="inlineStr">
        <is>
          <t>Example containing [harf_p_72]</t>
        </is>
      </c>
      <c r="T104" s="12" t="inlineStr">
        <is>
          <t>উদাহরণস্বরূপ [সাধারণ অব্যয়]</t>
        </is>
      </c>
      <c r="U104" s="12" t="inlineStr">
        <is>
          <t>مثال برائے [عام حرف]</t>
        </is>
      </c>
      <c r="V104" s="12" t="inlineStr">
        <is>
          <t>Contoh mengandung [harf_p_72]</t>
        </is>
      </c>
      <c r="W104" s="12" t="inlineStr">
        <is>
          <t>Örnek [harf_p_72]</t>
        </is>
      </c>
      <c r="X104" s="12" t="inlineStr">
        <is>
          <t>Exemple contenant [harf_p_72]</t>
        </is>
      </c>
    </row>
    <row r="105" ht="25" customHeight="1">
      <c r="A105" s="16" t="n">
        <v>101</v>
      </c>
      <c r="B105" s="17" t="inlineStr">
        <is>
          <t>حَرْف_Programmatic_73</t>
        </is>
      </c>
      <c r="C105" s="18" t="inlineStr">
        <is>
          <t>harf_p_73</t>
        </is>
      </c>
      <c r="D105" s="19" t="inlineStr">
        <is>
          <t>—</t>
        </is>
      </c>
      <c r="E105" s="19" t="inlineStr">
        <is>
          <t>Particle</t>
        </is>
      </c>
      <c r="F105" s="20" t="n">
        <v>4</v>
      </c>
      <c r="G105" s="21">
        <f>F105/$F$178</f>
        <v/>
      </c>
      <c r="H105" s="21">
        <f>F105/77429</f>
        <v/>
      </c>
      <c r="I105" s="21">
        <f>I104+G105</f>
        <v/>
      </c>
      <c r="J105" s="19" t="inlineStr">
        <is>
          <t>Standard particle usage</t>
        </is>
      </c>
      <c r="K105" s="19" t="inlineStr">
        <is>
          <t>সাধারণ অব্যয়</t>
        </is>
      </c>
      <c r="L105" s="19" t="inlineStr">
        <is>
          <t>عام حرف</t>
        </is>
      </c>
      <c r="M105" s="19" t="inlineStr">
        <is>
          <t>partikel</t>
        </is>
      </c>
      <c r="N105" s="19" t="inlineStr">
        <is>
          <t>edat</t>
        </is>
      </c>
      <c r="O105" s="19" t="inlineStr">
        <is>
          <t>particule</t>
        </is>
      </c>
      <c r="P105" s="18" t="inlineStr">
        <is>
          <t>Standard Quranic sense.</t>
        </is>
      </c>
      <c r="Q105" s="19" t="inlineStr">
        <is>
          <t>Surah Ref</t>
        </is>
      </c>
      <c r="R105" s="17" t="inlineStr">
        <is>
          <t>【حَرْف_Programmatic_73】</t>
        </is>
      </c>
      <c r="S105" s="19" t="inlineStr">
        <is>
          <t>Example containing [harf_p_73]</t>
        </is>
      </c>
      <c r="T105" s="19" t="inlineStr">
        <is>
          <t>উদাহরণস্বরূপ [সাধারণ অব্যয়]</t>
        </is>
      </c>
      <c r="U105" s="19" t="inlineStr">
        <is>
          <t>مثال برائے [عام حرف]</t>
        </is>
      </c>
      <c r="V105" s="19" t="inlineStr">
        <is>
          <t>Contoh mengandung [harf_p_73]</t>
        </is>
      </c>
      <c r="W105" s="19" t="inlineStr">
        <is>
          <t>Örnek [harf_p_73]</t>
        </is>
      </c>
      <c r="X105" s="19" t="inlineStr">
        <is>
          <t>Exemple contenant [harf_p_73]</t>
        </is>
      </c>
    </row>
    <row r="106" ht="25" customHeight="1">
      <c r="A106" s="9" t="n">
        <v>102</v>
      </c>
      <c r="B106" s="22" t="inlineStr">
        <is>
          <t>حَرْف_Programmatic_74</t>
        </is>
      </c>
      <c r="C106" s="23" t="inlineStr">
        <is>
          <t>harf_p_74</t>
        </is>
      </c>
      <c r="D106" s="12" t="inlineStr">
        <is>
          <t>—</t>
        </is>
      </c>
      <c r="E106" s="12" t="inlineStr">
        <is>
          <t>Particle</t>
        </is>
      </c>
      <c r="F106" s="24" t="n">
        <v>4</v>
      </c>
      <c r="G106" s="25">
        <f>F106/$F$178</f>
        <v/>
      </c>
      <c r="H106" s="25">
        <f>F106/77429</f>
        <v/>
      </c>
      <c r="I106" s="25">
        <f>I105+G106</f>
        <v/>
      </c>
      <c r="J106" s="12" t="inlineStr">
        <is>
          <t>Standard particle usage</t>
        </is>
      </c>
      <c r="K106" s="12" t="inlineStr">
        <is>
          <t>সাধারণ অব্যয়</t>
        </is>
      </c>
      <c r="L106" s="12" t="inlineStr">
        <is>
          <t>عام حرف</t>
        </is>
      </c>
      <c r="M106" s="12" t="inlineStr">
        <is>
          <t>partikel</t>
        </is>
      </c>
      <c r="N106" s="12" t="inlineStr">
        <is>
          <t>edat</t>
        </is>
      </c>
      <c r="O106" s="12" t="inlineStr">
        <is>
          <t>particule</t>
        </is>
      </c>
      <c r="P106" s="23" t="inlineStr">
        <is>
          <t>Standard Quranic sense.</t>
        </is>
      </c>
      <c r="Q106" s="12" t="inlineStr">
        <is>
          <t>Surah Ref</t>
        </is>
      </c>
      <c r="R106" s="22" t="inlineStr">
        <is>
          <t>【حَرْف_Programmatic_74】</t>
        </is>
      </c>
      <c r="S106" s="12" t="inlineStr">
        <is>
          <t>Example containing [harf_p_74]</t>
        </is>
      </c>
      <c r="T106" s="12" t="inlineStr">
        <is>
          <t>উদাহরণস্বরূপ [সাধারণ অব্যয়]</t>
        </is>
      </c>
      <c r="U106" s="12" t="inlineStr">
        <is>
          <t>مثال برائے [عام حرف]</t>
        </is>
      </c>
      <c r="V106" s="12" t="inlineStr">
        <is>
          <t>Contoh mengandung [harf_p_74]</t>
        </is>
      </c>
      <c r="W106" s="12" t="inlineStr">
        <is>
          <t>Örnek [harf_p_74]</t>
        </is>
      </c>
      <c r="X106" s="12" t="inlineStr">
        <is>
          <t>Exemple contenant [harf_p_74]</t>
        </is>
      </c>
    </row>
    <row r="107" ht="25" customHeight="1">
      <c r="A107" s="16" t="n">
        <v>103</v>
      </c>
      <c r="B107" s="17" t="inlineStr">
        <is>
          <t>حَرْف_Programmatic_75</t>
        </is>
      </c>
      <c r="C107" s="18" t="inlineStr">
        <is>
          <t>harf_p_75</t>
        </is>
      </c>
      <c r="D107" s="19" t="inlineStr">
        <is>
          <t>—</t>
        </is>
      </c>
      <c r="E107" s="19" t="inlineStr">
        <is>
          <t>Particle</t>
        </is>
      </c>
      <c r="F107" s="20" t="n">
        <v>4</v>
      </c>
      <c r="G107" s="21">
        <f>F107/$F$178</f>
        <v/>
      </c>
      <c r="H107" s="21">
        <f>F107/77429</f>
        <v/>
      </c>
      <c r="I107" s="21">
        <f>I106+G107</f>
        <v/>
      </c>
      <c r="J107" s="19" t="inlineStr">
        <is>
          <t>Standard particle usage</t>
        </is>
      </c>
      <c r="K107" s="19" t="inlineStr">
        <is>
          <t>সাধারণ অব্যয়</t>
        </is>
      </c>
      <c r="L107" s="19" t="inlineStr">
        <is>
          <t>عام حرف</t>
        </is>
      </c>
      <c r="M107" s="19" t="inlineStr">
        <is>
          <t>partikel</t>
        </is>
      </c>
      <c r="N107" s="19" t="inlineStr">
        <is>
          <t>edat</t>
        </is>
      </c>
      <c r="O107" s="19" t="inlineStr">
        <is>
          <t>particule</t>
        </is>
      </c>
      <c r="P107" s="18" t="inlineStr">
        <is>
          <t>Standard Quranic sense.</t>
        </is>
      </c>
      <c r="Q107" s="19" t="inlineStr">
        <is>
          <t>Surah Ref</t>
        </is>
      </c>
      <c r="R107" s="17" t="inlineStr">
        <is>
          <t>【حَرْف_Programmatic_75】</t>
        </is>
      </c>
      <c r="S107" s="19" t="inlineStr">
        <is>
          <t>Example containing [harf_p_75]</t>
        </is>
      </c>
      <c r="T107" s="19" t="inlineStr">
        <is>
          <t>উদাহরণস্বরূপ [সাধারণ অব্যয়]</t>
        </is>
      </c>
      <c r="U107" s="19" t="inlineStr">
        <is>
          <t>مثال برائے [عام حرف]</t>
        </is>
      </c>
      <c r="V107" s="19" t="inlineStr">
        <is>
          <t>Contoh mengandung [harf_p_75]</t>
        </is>
      </c>
      <c r="W107" s="19" t="inlineStr">
        <is>
          <t>Örnek [harf_p_75]</t>
        </is>
      </c>
      <c r="X107" s="19" t="inlineStr">
        <is>
          <t>Exemple contenant [harf_p_75]</t>
        </is>
      </c>
    </row>
    <row r="108" ht="25" customHeight="1">
      <c r="A108" s="9" t="n">
        <v>104</v>
      </c>
      <c r="B108" s="22" t="inlineStr">
        <is>
          <t>حَرْف_Programmatic_76</t>
        </is>
      </c>
      <c r="C108" s="23" t="inlineStr">
        <is>
          <t>harf_p_76</t>
        </is>
      </c>
      <c r="D108" s="12" t="inlineStr">
        <is>
          <t>—</t>
        </is>
      </c>
      <c r="E108" s="12" t="inlineStr">
        <is>
          <t>Particle</t>
        </is>
      </c>
      <c r="F108" s="24" t="n">
        <v>4</v>
      </c>
      <c r="G108" s="25">
        <f>F108/$F$178</f>
        <v/>
      </c>
      <c r="H108" s="25">
        <f>F108/77429</f>
        <v/>
      </c>
      <c r="I108" s="25">
        <f>I107+G108</f>
        <v/>
      </c>
      <c r="J108" s="12" t="inlineStr">
        <is>
          <t>Standard particle usage</t>
        </is>
      </c>
      <c r="K108" s="12" t="inlineStr">
        <is>
          <t>সাধারণ অব্যয়</t>
        </is>
      </c>
      <c r="L108" s="12" t="inlineStr">
        <is>
          <t>عام حرف</t>
        </is>
      </c>
      <c r="M108" s="12" t="inlineStr">
        <is>
          <t>partikel</t>
        </is>
      </c>
      <c r="N108" s="12" t="inlineStr">
        <is>
          <t>edat</t>
        </is>
      </c>
      <c r="O108" s="12" t="inlineStr">
        <is>
          <t>particule</t>
        </is>
      </c>
      <c r="P108" s="23" t="inlineStr">
        <is>
          <t>Standard Quranic sense.</t>
        </is>
      </c>
      <c r="Q108" s="12" t="inlineStr">
        <is>
          <t>Surah Ref</t>
        </is>
      </c>
      <c r="R108" s="22" t="inlineStr">
        <is>
          <t>【حَرْف_Programmatic_76】</t>
        </is>
      </c>
      <c r="S108" s="12" t="inlineStr">
        <is>
          <t>Example containing [harf_p_76]</t>
        </is>
      </c>
      <c r="T108" s="12" t="inlineStr">
        <is>
          <t>উদাহরণস্বরূপ [সাধারণ অব্যয়]</t>
        </is>
      </c>
      <c r="U108" s="12" t="inlineStr">
        <is>
          <t>مثال برائے [عام حرف]</t>
        </is>
      </c>
      <c r="V108" s="12" t="inlineStr">
        <is>
          <t>Contoh mengandung [harf_p_76]</t>
        </is>
      </c>
      <c r="W108" s="12" t="inlineStr">
        <is>
          <t>Örnek [harf_p_76]</t>
        </is>
      </c>
      <c r="X108" s="12" t="inlineStr">
        <is>
          <t>Exemple contenant [harf_p_76]</t>
        </is>
      </c>
    </row>
    <row r="109" ht="25" customHeight="1">
      <c r="A109" s="16" t="n">
        <v>105</v>
      </c>
      <c r="B109" s="17" t="inlineStr">
        <is>
          <t>حَرْف_Programmatic_77</t>
        </is>
      </c>
      <c r="C109" s="18" t="inlineStr">
        <is>
          <t>harf_p_77</t>
        </is>
      </c>
      <c r="D109" s="19" t="inlineStr">
        <is>
          <t>—</t>
        </is>
      </c>
      <c r="E109" s="19" t="inlineStr">
        <is>
          <t>Particle</t>
        </is>
      </c>
      <c r="F109" s="20" t="n">
        <v>4</v>
      </c>
      <c r="G109" s="21">
        <f>F109/$F$178</f>
        <v/>
      </c>
      <c r="H109" s="21">
        <f>F109/77429</f>
        <v/>
      </c>
      <c r="I109" s="21">
        <f>I108+G109</f>
        <v/>
      </c>
      <c r="J109" s="19" t="inlineStr">
        <is>
          <t>Standard particle usage</t>
        </is>
      </c>
      <c r="K109" s="19" t="inlineStr">
        <is>
          <t>সাধারণ অব্যয়</t>
        </is>
      </c>
      <c r="L109" s="19" t="inlineStr">
        <is>
          <t>عام حرف</t>
        </is>
      </c>
      <c r="M109" s="19" t="inlineStr">
        <is>
          <t>partikel</t>
        </is>
      </c>
      <c r="N109" s="19" t="inlineStr">
        <is>
          <t>edat</t>
        </is>
      </c>
      <c r="O109" s="19" t="inlineStr">
        <is>
          <t>particule</t>
        </is>
      </c>
      <c r="P109" s="18" t="inlineStr">
        <is>
          <t>Standard Quranic sense.</t>
        </is>
      </c>
      <c r="Q109" s="19" t="inlineStr">
        <is>
          <t>Surah Ref</t>
        </is>
      </c>
      <c r="R109" s="17" t="inlineStr">
        <is>
          <t>【حَرْف_Programmatic_77】</t>
        </is>
      </c>
      <c r="S109" s="19" t="inlineStr">
        <is>
          <t>Example containing [harf_p_77]</t>
        </is>
      </c>
      <c r="T109" s="19" t="inlineStr">
        <is>
          <t>উদাহরণস্বরূপ [সাধারণ অব্যয়]</t>
        </is>
      </c>
      <c r="U109" s="19" t="inlineStr">
        <is>
          <t>مثال برائے [عام حرف]</t>
        </is>
      </c>
      <c r="V109" s="19" t="inlineStr">
        <is>
          <t>Contoh mengandung [harf_p_77]</t>
        </is>
      </c>
      <c r="W109" s="19" t="inlineStr">
        <is>
          <t>Örnek [harf_p_77]</t>
        </is>
      </c>
      <c r="X109" s="19" t="inlineStr">
        <is>
          <t>Exemple contenant [harf_p_77]</t>
        </is>
      </c>
    </row>
    <row r="110" ht="25" customHeight="1">
      <c r="A110" s="9" t="n">
        <v>106</v>
      </c>
      <c r="B110" s="22" t="inlineStr">
        <is>
          <t>حَرْف_Programmatic_78</t>
        </is>
      </c>
      <c r="C110" s="23" t="inlineStr">
        <is>
          <t>harf_p_78</t>
        </is>
      </c>
      <c r="D110" s="12" t="inlineStr">
        <is>
          <t>—</t>
        </is>
      </c>
      <c r="E110" s="12" t="inlineStr">
        <is>
          <t>Particle</t>
        </is>
      </c>
      <c r="F110" s="24" t="n">
        <v>4</v>
      </c>
      <c r="G110" s="25">
        <f>F110/$F$178</f>
        <v/>
      </c>
      <c r="H110" s="25">
        <f>F110/77429</f>
        <v/>
      </c>
      <c r="I110" s="25">
        <f>I109+G110</f>
        <v/>
      </c>
      <c r="J110" s="12" t="inlineStr">
        <is>
          <t>Standard particle usage</t>
        </is>
      </c>
      <c r="K110" s="12" t="inlineStr">
        <is>
          <t>সাধারণ অব্যয়</t>
        </is>
      </c>
      <c r="L110" s="12" t="inlineStr">
        <is>
          <t>عام حرف</t>
        </is>
      </c>
      <c r="M110" s="12" t="inlineStr">
        <is>
          <t>partikel</t>
        </is>
      </c>
      <c r="N110" s="12" t="inlineStr">
        <is>
          <t>edat</t>
        </is>
      </c>
      <c r="O110" s="12" t="inlineStr">
        <is>
          <t>particule</t>
        </is>
      </c>
      <c r="P110" s="23" t="inlineStr">
        <is>
          <t>Standard Quranic sense.</t>
        </is>
      </c>
      <c r="Q110" s="12" t="inlineStr">
        <is>
          <t>Surah Ref</t>
        </is>
      </c>
      <c r="R110" s="22" t="inlineStr">
        <is>
          <t>【حَرْف_Programmatic_78】</t>
        </is>
      </c>
      <c r="S110" s="12" t="inlineStr">
        <is>
          <t>Example containing [harf_p_78]</t>
        </is>
      </c>
      <c r="T110" s="12" t="inlineStr">
        <is>
          <t>উদাহরণস্বরূপ [সাধারণ অব্যয়]</t>
        </is>
      </c>
      <c r="U110" s="12" t="inlineStr">
        <is>
          <t>مثال برائے [عام حرف]</t>
        </is>
      </c>
      <c r="V110" s="12" t="inlineStr">
        <is>
          <t>Contoh mengandung [harf_p_78]</t>
        </is>
      </c>
      <c r="W110" s="12" t="inlineStr">
        <is>
          <t>Örnek [harf_p_78]</t>
        </is>
      </c>
      <c r="X110" s="12" t="inlineStr">
        <is>
          <t>Exemple contenant [harf_p_78]</t>
        </is>
      </c>
    </row>
    <row r="111" ht="25" customHeight="1">
      <c r="A111" s="16" t="n">
        <v>107</v>
      </c>
      <c r="B111" s="17" t="inlineStr">
        <is>
          <t>حَرْف_Programmatic_79</t>
        </is>
      </c>
      <c r="C111" s="18" t="inlineStr">
        <is>
          <t>harf_p_79</t>
        </is>
      </c>
      <c r="D111" s="19" t="inlineStr">
        <is>
          <t>—</t>
        </is>
      </c>
      <c r="E111" s="19" t="inlineStr">
        <is>
          <t>Particle</t>
        </is>
      </c>
      <c r="F111" s="20" t="n">
        <v>4</v>
      </c>
      <c r="G111" s="21">
        <f>F111/$F$178</f>
        <v/>
      </c>
      <c r="H111" s="21">
        <f>F111/77429</f>
        <v/>
      </c>
      <c r="I111" s="21">
        <f>I110+G111</f>
        <v/>
      </c>
      <c r="J111" s="19" t="inlineStr">
        <is>
          <t>Standard particle usage</t>
        </is>
      </c>
      <c r="K111" s="19" t="inlineStr">
        <is>
          <t>সাধারণ অব্যয়</t>
        </is>
      </c>
      <c r="L111" s="19" t="inlineStr">
        <is>
          <t>عام حرف</t>
        </is>
      </c>
      <c r="M111" s="19" t="inlineStr">
        <is>
          <t>partikel</t>
        </is>
      </c>
      <c r="N111" s="19" t="inlineStr">
        <is>
          <t>edat</t>
        </is>
      </c>
      <c r="O111" s="19" t="inlineStr">
        <is>
          <t>particule</t>
        </is>
      </c>
      <c r="P111" s="18" t="inlineStr">
        <is>
          <t>Standard Quranic sense.</t>
        </is>
      </c>
      <c r="Q111" s="19" t="inlineStr">
        <is>
          <t>Surah Ref</t>
        </is>
      </c>
      <c r="R111" s="17" t="inlineStr">
        <is>
          <t>【حَرْف_Programmatic_79】</t>
        </is>
      </c>
      <c r="S111" s="19" t="inlineStr">
        <is>
          <t>Example containing [harf_p_79]</t>
        </is>
      </c>
      <c r="T111" s="19" t="inlineStr">
        <is>
          <t>উদাহরণস্বরূপ [সাধারণ অব্যয়]</t>
        </is>
      </c>
      <c r="U111" s="19" t="inlineStr">
        <is>
          <t>مثال برائے [عام حرف]</t>
        </is>
      </c>
      <c r="V111" s="19" t="inlineStr">
        <is>
          <t>Contoh mengandung [harf_p_79]</t>
        </is>
      </c>
      <c r="W111" s="19" t="inlineStr">
        <is>
          <t>Örnek [harf_p_79]</t>
        </is>
      </c>
      <c r="X111" s="19" t="inlineStr">
        <is>
          <t>Exemple contenant [harf_p_79]</t>
        </is>
      </c>
    </row>
    <row r="112" ht="25" customHeight="1">
      <c r="A112" s="9" t="n">
        <v>108</v>
      </c>
      <c r="B112" s="22" t="inlineStr">
        <is>
          <t>حَرْف_Programmatic_80</t>
        </is>
      </c>
      <c r="C112" s="23" t="inlineStr">
        <is>
          <t>harf_p_80</t>
        </is>
      </c>
      <c r="D112" s="12" t="inlineStr">
        <is>
          <t>—</t>
        </is>
      </c>
      <c r="E112" s="12" t="inlineStr">
        <is>
          <t>Particle</t>
        </is>
      </c>
      <c r="F112" s="24" t="n">
        <v>4</v>
      </c>
      <c r="G112" s="25">
        <f>F112/$F$178</f>
        <v/>
      </c>
      <c r="H112" s="25">
        <f>F112/77429</f>
        <v/>
      </c>
      <c r="I112" s="25">
        <f>I111+G112</f>
        <v/>
      </c>
      <c r="J112" s="12" t="inlineStr">
        <is>
          <t>Standard particle usage</t>
        </is>
      </c>
      <c r="K112" s="12" t="inlineStr">
        <is>
          <t>সাধারণ অব্যয়</t>
        </is>
      </c>
      <c r="L112" s="12" t="inlineStr">
        <is>
          <t>عام حرف</t>
        </is>
      </c>
      <c r="M112" s="12" t="inlineStr">
        <is>
          <t>partikel</t>
        </is>
      </c>
      <c r="N112" s="12" t="inlineStr">
        <is>
          <t>edat</t>
        </is>
      </c>
      <c r="O112" s="12" t="inlineStr">
        <is>
          <t>particule</t>
        </is>
      </c>
      <c r="P112" s="23" t="inlineStr">
        <is>
          <t>Standard Quranic sense.</t>
        </is>
      </c>
      <c r="Q112" s="12" t="inlineStr">
        <is>
          <t>Surah Ref</t>
        </is>
      </c>
      <c r="R112" s="22" t="inlineStr">
        <is>
          <t>【حَرْف_Programmatic_80】</t>
        </is>
      </c>
      <c r="S112" s="12" t="inlineStr">
        <is>
          <t>Example containing [harf_p_80]</t>
        </is>
      </c>
      <c r="T112" s="12" t="inlineStr">
        <is>
          <t>উদাহরণস্বরূপ [সাধারণ অব্যয়]</t>
        </is>
      </c>
      <c r="U112" s="12" t="inlineStr">
        <is>
          <t>مثال برائے [عام حرف]</t>
        </is>
      </c>
      <c r="V112" s="12" t="inlineStr">
        <is>
          <t>Contoh mengandung [harf_p_80]</t>
        </is>
      </c>
      <c r="W112" s="12" t="inlineStr">
        <is>
          <t>Örnek [harf_p_80]</t>
        </is>
      </c>
      <c r="X112" s="12" t="inlineStr">
        <is>
          <t>Exemple contenant [harf_p_80]</t>
        </is>
      </c>
    </row>
    <row r="113" ht="25" customHeight="1">
      <c r="A113" s="16" t="n">
        <v>109</v>
      </c>
      <c r="B113" s="17" t="inlineStr">
        <is>
          <t>حَرْف_Programmatic_81</t>
        </is>
      </c>
      <c r="C113" s="18" t="inlineStr">
        <is>
          <t>harf_p_81</t>
        </is>
      </c>
      <c r="D113" s="19" t="inlineStr">
        <is>
          <t>—</t>
        </is>
      </c>
      <c r="E113" s="19" t="inlineStr">
        <is>
          <t>Particle</t>
        </is>
      </c>
      <c r="F113" s="20" t="n">
        <v>4</v>
      </c>
      <c r="G113" s="21">
        <f>F113/$F$178</f>
        <v/>
      </c>
      <c r="H113" s="21">
        <f>F113/77429</f>
        <v/>
      </c>
      <c r="I113" s="21">
        <f>I112+G113</f>
        <v/>
      </c>
      <c r="J113" s="19" t="inlineStr">
        <is>
          <t>Standard particle usage</t>
        </is>
      </c>
      <c r="K113" s="19" t="inlineStr">
        <is>
          <t>সাধারণ অব্যয়</t>
        </is>
      </c>
      <c r="L113" s="19" t="inlineStr">
        <is>
          <t>عام حرف</t>
        </is>
      </c>
      <c r="M113" s="19" t="inlineStr">
        <is>
          <t>partikel</t>
        </is>
      </c>
      <c r="N113" s="19" t="inlineStr">
        <is>
          <t>edat</t>
        </is>
      </c>
      <c r="O113" s="19" t="inlineStr">
        <is>
          <t>particule</t>
        </is>
      </c>
      <c r="P113" s="18" t="inlineStr">
        <is>
          <t>Standard Quranic sense.</t>
        </is>
      </c>
      <c r="Q113" s="19" t="inlineStr">
        <is>
          <t>Surah Ref</t>
        </is>
      </c>
      <c r="R113" s="17" t="inlineStr">
        <is>
          <t>【حَرْف_Programmatic_81】</t>
        </is>
      </c>
      <c r="S113" s="19" t="inlineStr">
        <is>
          <t>Example containing [harf_p_81]</t>
        </is>
      </c>
      <c r="T113" s="19" t="inlineStr">
        <is>
          <t>উদাহরণস্বরূপ [সাধারণ অব্যয়]</t>
        </is>
      </c>
      <c r="U113" s="19" t="inlineStr">
        <is>
          <t>مثال برائے [عام حرف]</t>
        </is>
      </c>
      <c r="V113" s="19" t="inlineStr">
        <is>
          <t>Contoh mengandung [harf_p_81]</t>
        </is>
      </c>
      <c r="W113" s="19" t="inlineStr">
        <is>
          <t>Örnek [harf_p_81]</t>
        </is>
      </c>
      <c r="X113" s="19" t="inlineStr">
        <is>
          <t>Exemple contenant [harf_p_81]</t>
        </is>
      </c>
    </row>
    <row r="114" ht="25" customHeight="1">
      <c r="A114" s="9" t="n">
        <v>110</v>
      </c>
      <c r="B114" s="22" t="inlineStr">
        <is>
          <t>حَرْف_Programmatic_82</t>
        </is>
      </c>
      <c r="C114" s="23" t="inlineStr">
        <is>
          <t>harf_p_82</t>
        </is>
      </c>
      <c r="D114" s="12" t="inlineStr">
        <is>
          <t>—</t>
        </is>
      </c>
      <c r="E114" s="12" t="inlineStr">
        <is>
          <t>Particle</t>
        </is>
      </c>
      <c r="F114" s="24" t="n">
        <v>4</v>
      </c>
      <c r="G114" s="25">
        <f>F114/$F$178</f>
        <v/>
      </c>
      <c r="H114" s="25">
        <f>F114/77429</f>
        <v/>
      </c>
      <c r="I114" s="25">
        <f>I113+G114</f>
        <v/>
      </c>
      <c r="J114" s="12" t="inlineStr">
        <is>
          <t>Standard particle usage</t>
        </is>
      </c>
      <c r="K114" s="12" t="inlineStr">
        <is>
          <t>সাধারণ অব্যয়</t>
        </is>
      </c>
      <c r="L114" s="12" t="inlineStr">
        <is>
          <t>عام حرف</t>
        </is>
      </c>
      <c r="M114" s="12" t="inlineStr">
        <is>
          <t>partikel</t>
        </is>
      </c>
      <c r="N114" s="12" t="inlineStr">
        <is>
          <t>edat</t>
        </is>
      </c>
      <c r="O114" s="12" t="inlineStr">
        <is>
          <t>particule</t>
        </is>
      </c>
      <c r="P114" s="23" t="inlineStr">
        <is>
          <t>Standard Quranic sense.</t>
        </is>
      </c>
      <c r="Q114" s="12" t="inlineStr">
        <is>
          <t>Surah Ref</t>
        </is>
      </c>
      <c r="R114" s="22" t="inlineStr">
        <is>
          <t>【حَرْف_Programmatic_82】</t>
        </is>
      </c>
      <c r="S114" s="12" t="inlineStr">
        <is>
          <t>Example containing [harf_p_82]</t>
        </is>
      </c>
      <c r="T114" s="12" t="inlineStr">
        <is>
          <t>উদাহরণস্বরূপ [সাধারণ অব্যয়]</t>
        </is>
      </c>
      <c r="U114" s="12" t="inlineStr">
        <is>
          <t>مثال برائے [عام حرف]</t>
        </is>
      </c>
      <c r="V114" s="12" t="inlineStr">
        <is>
          <t>Contoh mengandung [harf_p_82]</t>
        </is>
      </c>
      <c r="W114" s="12" t="inlineStr">
        <is>
          <t>Örnek [harf_p_82]</t>
        </is>
      </c>
      <c r="X114" s="12" t="inlineStr">
        <is>
          <t>Exemple contenant [harf_p_82]</t>
        </is>
      </c>
    </row>
    <row r="115" ht="25" customHeight="1">
      <c r="A115" s="16" t="n">
        <v>111</v>
      </c>
      <c r="B115" s="17" t="inlineStr">
        <is>
          <t>حَرْف_Programmatic_83</t>
        </is>
      </c>
      <c r="C115" s="18" t="inlineStr">
        <is>
          <t>harf_p_83</t>
        </is>
      </c>
      <c r="D115" s="19" t="inlineStr">
        <is>
          <t>—</t>
        </is>
      </c>
      <c r="E115" s="19" t="inlineStr">
        <is>
          <t>Particle</t>
        </is>
      </c>
      <c r="F115" s="20" t="n">
        <v>4</v>
      </c>
      <c r="G115" s="21">
        <f>F115/$F$178</f>
        <v/>
      </c>
      <c r="H115" s="21">
        <f>F115/77429</f>
        <v/>
      </c>
      <c r="I115" s="21">
        <f>I114+G115</f>
        <v/>
      </c>
      <c r="J115" s="19" t="inlineStr">
        <is>
          <t>Standard particle usage</t>
        </is>
      </c>
      <c r="K115" s="19" t="inlineStr">
        <is>
          <t>সাধারণ অব্যয়</t>
        </is>
      </c>
      <c r="L115" s="19" t="inlineStr">
        <is>
          <t>عام حرف</t>
        </is>
      </c>
      <c r="M115" s="19" t="inlineStr">
        <is>
          <t>partikel</t>
        </is>
      </c>
      <c r="N115" s="19" t="inlineStr">
        <is>
          <t>edat</t>
        </is>
      </c>
      <c r="O115" s="19" t="inlineStr">
        <is>
          <t>particule</t>
        </is>
      </c>
      <c r="P115" s="18" t="inlineStr">
        <is>
          <t>Standard Quranic sense.</t>
        </is>
      </c>
      <c r="Q115" s="19" t="inlineStr">
        <is>
          <t>Surah Ref</t>
        </is>
      </c>
      <c r="R115" s="17" t="inlineStr">
        <is>
          <t>【حَرْف_Programmatic_83】</t>
        </is>
      </c>
      <c r="S115" s="19" t="inlineStr">
        <is>
          <t>Example containing [harf_p_83]</t>
        </is>
      </c>
      <c r="T115" s="19" t="inlineStr">
        <is>
          <t>উদাহরণস্বরূপ [সাধারণ অব্যয়]</t>
        </is>
      </c>
      <c r="U115" s="19" t="inlineStr">
        <is>
          <t>مثال برائے [عام حرف]</t>
        </is>
      </c>
      <c r="V115" s="19" t="inlineStr">
        <is>
          <t>Contoh mengandung [harf_p_83]</t>
        </is>
      </c>
      <c r="W115" s="19" t="inlineStr">
        <is>
          <t>Örnek [harf_p_83]</t>
        </is>
      </c>
      <c r="X115" s="19" t="inlineStr">
        <is>
          <t>Exemple contenant [harf_p_83]</t>
        </is>
      </c>
    </row>
    <row r="116" ht="25" customHeight="1">
      <c r="A116" s="9" t="n">
        <v>112</v>
      </c>
      <c r="B116" s="22" t="inlineStr">
        <is>
          <t>حَرْف_Programmatic_84</t>
        </is>
      </c>
      <c r="C116" s="23" t="inlineStr">
        <is>
          <t>harf_p_84</t>
        </is>
      </c>
      <c r="D116" s="12" t="inlineStr">
        <is>
          <t>—</t>
        </is>
      </c>
      <c r="E116" s="12" t="inlineStr">
        <is>
          <t>Particle</t>
        </is>
      </c>
      <c r="F116" s="24" t="n">
        <v>4</v>
      </c>
      <c r="G116" s="25">
        <f>F116/$F$178</f>
        <v/>
      </c>
      <c r="H116" s="25">
        <f>F116/77429</f>
        <v/>
      </c>
      <c r="I116" s="25">
        <f>I115+G116</f>
        <v/>
      </c>
      <c r="J116" s="12" t="inlineStr">
        <is>
          <t>Standard particle usage</t>
        </is>
      </c>
      <c r="K116" s="12" t="inlineStr">
        <is>
          <t>সাধারণ অব্যয়</t>
        </is>
      </c>
      <c r="L116" s="12" t="inlineStr">
        <is>
          <t>عام حرف</t>
        </is>
      </c>
      <c r="M116" s="12" t="inlineStr">
        <is>
          <t>partikel</t>
        </is>
      </c>
      <c r="N116" s="12" t="inlineStr">
        <is>
          <t>edat</t>
        </is>
      </c>
      <c r="O116" s="12" t="inlineStr">
        <is>
          <t>particule</t>
        </is>
      </c>
      <c r="P116" s="23" t="inlineStr">
        <is>
          <t>Standard Quranic sense.</t>
        </is>
      </c>
      <c r="Q116" s="12" t="inlineStr">
        <is>
          <t>Surah Ref</t>
        </is>
      </c>
      <c r="R116" s="22" t="inlineStr">
        <is>
          <t>【حَرْف_Programmatic_84】</t>
        </is>
      </c>
      <c r="S116" s="12" t="inlineStr">
        <is>
          <t>Example containing [harf_p_84]</t>
        </is>
      </c>
      <c r="T116" s="12" t="inlineStr">
        <is>
          <t>উদাহরণস্বরূপ [সাধারণ অব্যয়]</t>
        </is>
      </c>
      <c r="U116" s="12" t="inlineStr">
        <is>
          <t>مثال برائے [عام حرف]</t>
        </is>
      </c>
      <c r="V116" s="12" t="inlineStr">
        <is>
          <t>Contoh mengandung [harf_p_84]</t>
        </is>
      </c>
      <c r="W116" s="12" t="inlineStr">
        <is>
          <t>Örnek [harf_p_84]</t>
        </is>
      </c>
      <c r="X116" s="12" t="inlineStr">
        <is>
          <t>Exemple contenant [harf_p_84]</t>
        </is>
      </c>
    </row>
    <row r="117" ht="25" customHeight="1">
      <c r="A117" s="16" t="n">
        <v>113</v>
      </c>
      <c r="B117" s="17" t="inlineStr">
        <is>
          <t>حَرْف_Programmatic_85</t>
        </is>
      </c>
      <c r="C117" s="18" t="inlineStr">
        <is>
          <t>harf_p_85</t>
        </is>
      </c>
      <c r="D117" s="19" t="inlineStr">
        <is>
          <t>—</t>
        </is>
      </c>
      <c r="E117" s="19" t="inlineStr">
        <is>
          <t>Particle</t>
        </is>
      </c>
      <c r="F117" s="20" t="n">
        <v>2</v>
      </c>
      <c r="G117" s="21">
        <f>F117/$F$178</f>
        <v/>
      </c>
      <c r="H117" s="21">
        <f>F117/77429</f>
        <v/>
      </c>
      <c r="I117" s="21">
        <f>I116+G117</f>
        <v/>
      </c>
      <c r="J117" s="19" t="inlineStr">
        <is>
          <t>Standard particle usage</t>
        </is>
      </c>
      <c r="K117" s="19" t="inlineStr">
        <is>
          <t>সাধারণ অব্যয়</t>
        </is>
      </c>
      <c r="L117" s="19" t="inlineStr">
        <is>
          <t>عام حرف</t>
        </is>
      </c>
      <c r="M117" s="19" t="inlineStr">
        <is>
          <t>partikel</t>
        </is>
      </c>
      <c r="N117" s="19" t="inlineStr">
        <is>
          <t>edat</t>
        </is>
      </c>
      <c r="O117" s="19" t="inlineStr">
        <is>
          <t>particule</t>
        </is>
      </c>
      <c r="P117" s="18" t="inlineStr">
        <is>
          <t>Standard Quranic sense.</t>
        </is>
      </c>
      <c r="Q117" s="19" t="inlineStr">
        <is>
          <t>Surah Ref</t>
        </is>
      </c>
      <c r="R117" s="17" t="inlineStr">
        <is>
          <t>【حَرْف_Programmatic_85】</t>
        </is>
      </c>
      <c r="S117" s="19" t="inlineStr">
        <is>
          <t>Example containing [harf_p_85]</t>
        </is>
      </c>
      <c r="T117" s="19" t="inlineStr">
        <is>
          <t>উদাহরণস্বরূপ [সাধারণ অব্যয়]</t>
        </is>
      </c>
      <c r="U117" s="19" t="inlineStr">
        <is>
          <t>مثال برائے [عام حرف]</t>
        </is>
      </c>
      <c r="V117" s="19" t="inlineStr">
        <is>
          <t>Contoh mengandung [harf_p_85]</t>
        </is>
      </c>
      <c r="W117" s="19" t="inlineStr">
        <is>
          <t>Örnek [harf_p_85]</t>
        </is>
      </c>
      <c r="X117" s="19" t="inlineStr">
        <is>
          <t>Exemple contenant [harf_p_85]</t>
        </is>
      </c>
    </row>
    <row r="118" ht="25" customHeight="1">
      <c r="A118" s="9" t="n">
        <v>114</v>
      </c>
      <c r="B118" s="22" t="inlineStr">
        <is>
          <t>حَرْف_Programmatic_86</t>
        </is>
      </c>
      <c r="C118" s="23" t="inlineStr">
        <is>
          <t>harf_p_86</t>
        </is>
      </c>
      <c r="D118" s="12" t="inlineStr">
        <is>
          <t>—</t>
        </is>
      </c>
      <c r="E118" s="12" t="inlineStr">
        <is>
          <t>Particle</t>
        </is>
      </c>
      <c r="F118" s="24" t="n">
        <v>2</v>
      </c>
      <c r="G118" s="25">
        <f>F118/$F$178</f>
        <v/>
      </c>
      <c r="H118" s="25">
        <f>F118/77429</f>
        <v/>
      </c>
      <c r="I118" s="25">
        <f>I117+G118</f>
        <v/>
      </c>
      <c r="J118" s="12" t="inlineStr">
        <is>
          <t>Standard particle usage</t>
        </is>
      </c>
      <c r="K118" s="12" t="inlineStr">
        <is>
          <t>সাধারণ অব্যয়</t>
        </is>
      </c>
      <c r="L118" s="12" t="inlineStr">
        <is>
          <t>عام حرف</t>
        </is>
      </c>
      <c r="M118" s="12" t="inlineStr">
        <is>
          <t>partikel</t>
        </is>
      </c>
      <c r="N118" s="12" t="inlineStr">
        <is>
          <t>edat</t>
        </is>
      </c>
      <c r="O118" s="12" t="inlineStr">
        <is>
          <t>particule</t>
        </is>
      </c>
      <c r="P118" s="23" t="inlineStr">
        <is>
          <t>Standard Quranic sense.</t>
        </is>
      </c>
      <c r="Q118" s="12" t="inlineStr">
        <is>
          <t>Surah Ref</t>
        </is>
      </c>
      <c r="R118" s="22" t="inlineStr">
        <is>
          <t>【حَرْف_Programmatic_86】</t>
        </is>
      </c>
      <c r="S118" s="12" t="inlineStr">
        <is>
          <t>Example containing [harf_p_86]</t>
        </is>
      </c>
      <c r="T118" s="12" t="inlineStr">
        <is>
          <t>উদাহরণস্বরূপ [সাধারণ অব্যয়]</t>
        </is>
      </c>
      <c r="U118" s="12" t="inlineStr">
        <is>
          <t>مثال برائے [عام حرف]</t>
        </is>
      </c>
      <c r="V118" s="12" t="inlineStr">
        <is>
          <t>Contoh mengandung [harf_p_86]</t>
        </is>
      </c>
      <c r="W118" s="12" t="inlineStr">
        <is>
          <t>Örnek [harf_p_86]</t>
        </is>
      </c>
      <c r="X118" s="12" t="inlineStr">
        <is>
          <t>Exemple contenant [harf_p_86]</t>
        </is>
      </c>
    </row>
    <row r="119" ht="25" customHeight="1">
      <c r="A119" s="16" t="n">
        <v>115</v>
      </c>
      <c r="B119" s="17" t="inlineStr">
        <is>
          <t>حَرْف_Programmatic_87</t>
        </is>
      </c>
      <c r="C119" s="18" t="inlineStr">
        <is>
          <t>harf_p_87</t>
        </is>
      </c>
      <c r="D119" s="19" t="inlineStr">
        <is>
          <t>—</t>
        </is>
      </c>
      <c r="E119" s="19" t="inlineStr">
        <is>
          <t>Particle</t>
        </is>
      </c>
      <c r="F119" s="20" t="n">
        <v>2</v>
      </c>
      <c r="G119" s="21">
        <f>F119/$F$178</f>
        <v/>
      </c>
      <c r="H119" s="21">
        <f>F119/77429</f>
        <v/>
      </c>
      <c r="I119" s="21">
        <f>I118+G119</f>
        <v/>
      </c>
      <c r="J119" s="19" t="inlineStr">
        <is>
          <t>Standard particle usage</t>
        </is>
      </c>
      <c r="K119" s="19" t="inlineStr">
        <is>
          <t>সাধারণ অব্যয়</t>
        </is>
      </c>
      <c r="L119" s="19" t="inlineStr">
        <is>
          <t>عام حرف</t>
        </is>
      </c>
      <c r="M119" s="19" t="inlineStr">
        <is>
          <t>partikel</t>
        </is>
      </c>
      <c r="N119" s="19" t="inlineStr">
        <is>
          <t>edat</t>
        </is>
      </c>
      <c r="O119" s="19" t="inlineStr">
        <is>
          <t>particule</t>
        </is>
      </c>
      <c r="P119" s="18" t="inlineStr">
        <is>
          <t>Standard Quranic sense.</t>
        </is>
      </c>
      <c r="Q119" s="19" t="inlineStr">
        <is>
          <t>Surah Ref</t>
        </is>
      </c>
      <c r="R119" s="17" t="inlineStr">
        <is>
          <t>【حَرْف_Programmatic_87】</t>
        </is>
      </c>
      <c r="S119" s="19" t="inlineStr">
        <is>
          <t>Example containing [harf_p_87]</t>
        </is>
      </c>
      <c r="T119" s="19" t="inlineStr">
        <is>
          <t>উদাহরণস্বরূপ [সাধারণ অব্যয়]</t>
        </is>
      </c>
      <c r="U119" s="19" t="inlineStr">
        <is>
          <t>مثال برائے [عام حرف]</t>
        </is>
      </c>
      <c r="V119" s="19" t="inlineStr">
        <is>
          <t>Contoh mengandung [harf_p_87]</t>
        </is>
      </c>
      <c r="W119" s="19" t="inlineStr">
        <is>
          <t>Örnek [harf_p_87]</t>
        </is>
      </c>
      <c r="X119" s="19" t="inlineStr">
        <is>
          <t>Exemple contenant [harf_p_87]</t>
        </is>
      </c>
    </row>
    <row r="120" ht="25" customHeight="1">
      <c r="A120" s="9" t="n">
        <v>116</v>
      </c>
      <c r="B120" s="22" t="inlineStr">
        <is>
          <t>حَرْف_Programmatic_88</t>
        </is>
      </c>
      <c r="C120" s="23" t="inlineStr">
        <is>
          <t>harf_p_88</t>
        </is>
      </c>
      <c r="D120" s="12" t="inlineStr">
        <is>
          <t>—</t>
        </is>
      </c>
      <c r="E120" s="12" t="inlineStr">
        <is>
          <t>Particle</t>
        </is>
      </c>
      <c r="F120" s="24" t="n">
        <v>2</v>
      </c>
      <c r="G120" s="25">
        <f>F120/$F$178</f>
        <v/>
      </c>
      <c r="H120" s="25">
        <f>F120/77429</f>
        <v/>
      </c>
      <c r="I120" s="25">
        <f>I119+G120</f>
        <v/>
      </c>
      <c r="J120" s="12" t="inlineStr">
        <is>
          <t>Standard particle usage</t>
        </is>
      </c>
      <c r="K120" s="12" t="inlineStr">
        <is>
          <t>সাধারণ অব্যয়</t>
        </is>
      </c>
      <c r="L120" s="12" t="inlineStr">
        <is>
          <t>عام حرف</t>
        </is>
      </c>
      <c r="M120" s="12" t="inlineStr">
        <is>
          <t>partikel</t>
        </is>
      </c>
      <c r="N120" s="12" t="inlineStr">
        <is>
          <t>edat</t>
        </is>
      </c>
      <c r="O120" s="12" t="inlineStr">
        <is>
          <t>particule</t>
        </is>
      </c>
      <c r="P120" s="23" t="inlineStr">
        <is>
          <t>Standard Quranic sense.</t>
        </is>
      </c>
      <c r="Q120" s="12" t="inlineStr">
        <is>
          <t>Surah Ref</t>
        </is>
      </c>
      <c r="R120" s="22" t="inlineStr">
        <is>
          <t>【حَرْف_Programmatic_88】</t>
        </is>
      </c>
      <c r="S120" s="12" t="inlineStr">
        <is>
          <t>Example containing [harf_p_88]</t>
        </is>
      </c>
      <c r="T120" s="12" t="inlineStr">
        <is>
          <t>উদাহরণস্বরূপ [সাধারণ অব্যয়]</t>
        </is>
      </c>
      <c r="U120" s="12" t="inlineStr">
        <is>
          <t>مثال برائے [عام حرف]</t>
        </is>
      </c>
      <c r="V120" s="12" t="inlineStr">
        <is>
          <t>Contoh mengandung [harf_p_88]</t>
        </is>
      </c>
      <c r="W120" s="12" t="inlineStr">
        <is>
          <t>Örnek [harf_p_88]</t>
        </is>
      </c>
      <c r="X120" s="12" t="inlineStr">
        <is>
          <t>Exemple contenant [harf_p_88]</t>
        </is>
      </c>
    </row>
    <row r="121" ht="25" customHeight="1">
      <c r="A121" s="16" t="n">
        <v>117</v>
      </c>
      <c r="B121" s="17" t="inlineStr">
        <is>
          <t>حَرْف_Programmatic_89</t>
        </is>
      </c>
      <c r="C121" s="18" t="inlineStr">
        <is>
          <t>harf_p_89</t>
        </is>
      </c>
      <c r="D121" s="19" t="inlineStr">
        <is>
          <t>—</t>
        </is>
      </c>
      <c r="E121" s="19" t="inlineStr">
        <is>
          <t>Particle</t>
        </is>
      </c>
      <c r="F121" s="20" t="n">
        <v>2</v>
      </c>
      <c r="G121" s="21">
        <f>F121/$F$178</f>
        <v/>
      </c>
      <c r="H121" s="21">
        <f>F121/77429</f>
        <v/>
      </c>
      <c r="I121" s="21">
        <f>I120+G121</f>
        <v/>
      </c>
      <c r="J121" s="19" t="inlineStr">
        <is>
          <t>Standard particle usage</t>
        </is>
      </c>
      <c r="K121" s="19" t="inlineStr">
        <is>
          <t>সাধারণ অব্যয়</t>
        </is>
      </c>
      <c r="L121" s="19" t="inlineStr">
        <is>
          <t>عام حرف</t>
        </is>
      </c>
      <c r="M121" s="19" t="inlineStr">
        <is>
          <t>partikel</t>
        </is>
      </c>
      <c r="N121" s="19" t="inlineStr">
        <is>
          <t>edat</t>
        </is>
      </c>
      <c r="O121" s="19" t="inlineStr">
        <is>
          <t>particule</t>
        </is>
      </c>
      <c r="P121" s="18" t="inlineStr">
        <is>
          <t>Standard Quranic sense.</t>
        </is>
      </c>
      <c r="Q121" s="19" t="inlineStr">
        <is>
          <t>Surah Ref</t>
        </is>
      </c>
      <c r="R121" s="17" t="inlineStr">
        <is>
          <t>【حَرْف_Programmatic_89】</t>
        </is>
      </c>
      <c r="S121" s="19" t="inlineStr">
        <is>
          <t>Example containing [harf_p_89]</t>
        </is>
      </c>
      <c r="T121" s="19" t="inlineStr">
        <is>
          <t>উদাহরণস্বরূপ [সাধারণ অব্যয়]</t>
        </is>
      </c>
      <c r="U121" s="19" t="inlineStr">
        <is>
          <t>مثال برائے [عام حرف]</t>
        </is>
      </c>
      <c r="V121" s="19" t="inlineStr">
        <is>
          <t>Contoh mengandung [harf_p_89]</t>
        </is>
      </c>
      <c r="W121" s="19" t="inlineStr">
        <is>
          <t>Örnek [harf_p_89]</t>
        </is>
      </c>
      <c r="X121" s="19" t="inlineStr">
        <is>
          <t>Exemple contenant [harf_p_89]</t>
        </is>
      </c>
    </row>
    <row r="122" ht="25" customHeight="1">
      <c r="A122" s="9" t="n">
        <v>118</v>
      </c>
      <c r="B122" s="22" t="inlineStr">
        <is>
          <t>حَرْف_Programmatic_90</t>
        </is>
      </c>
      <c r="C122" s="23" t="inlineStr">
        <is>
          <t>harf_p_90</t>
        </is>
      </c>
      <c r="D122" s="12" t="inlineStr">
        <is>
          <t>—</t>
        </is>
      </c>
      <c r="E122" s="12" t="inlineStr">
        <is>
          <t>Particle</t>
        </is>
      </c>
      <c r="F122" s="24" t="n">
        <v>2</v>
      </c>
      <c r="G122" s="25">
        <f>F122/$F$178</f>
        <v/>
      </c>
      <c r="H122" s="25">
        <f>F122/77429</f>
        <v/>
      </c>
      <c r="I122" s="25">
        <f>I121+G122</f>
        <v/>
      </c>
      <c r="J122" s="12" t="inlineStr">
        <is>
          <t>Standard particle usage</t>
        </is>
      </c>
      <c r="K122" s="12" t="inlineStr">
        <is>
          <t>সাধারণ অব্যয়</t>
        </is>
      </c>
      <c r="L122" s="12" t="inlineStr">
        <is>
          <t>عام حرف</t>
        </is>
      </c>
      <c r="M122" s="12" t="inlineStr">
        <is>
          <t>partikel</t>
        </is>
      </c>
      <c r="N122" s="12" t="inlineStr">
        <is>
          <t>edat</t>
        </is>
      </c>
      <c r="O122" s="12" t="inlineStr">
        <is>
          <t>particule</t>
        </is>
      </c>
      <c r="P122" s="23" t="inlineStr">
        <is>
          <t>Standard Quranic sense.</t>
        </is>
      </c>
      <c r="Q122" s="12" t="inlineStr">
        <is>
          <t>Surah Ref</t>
        </is>
      </c>
      <c r="R122" s="22" t="inlineStr">
        <is>
          <t>【حَرْف_Programmatic_90】</t>
        </is>
      </c>
      <c r="S122" s="12" t="inlineStr">
        <is>
          <t>Example containing [harf_p_90]</t>
        </is>
      </c>
      <c r="T122" s="12" t="inlineStr">
        <is>
          <t>উদাহরণস্বরূপ [সাধারণ অব্যয়]</t>
        </is>
      </c>
      <c r="U122" s="12" t="inlineStr">
        <is>
          <t>مثال برائے [عام حرف]</t>
        </is>
      </c>
      <c r="V122" s="12" t="inlineStr">
        <is>
          <t>Contoh mengandung [harf_p_90]</t>
        </is>
      </c>
      <c r="W122" s="12" t="inlineStr">
        <is>
          <t>Örnek [harf_p_90]</t>
        </is>
      </c>
      <c r="X122" s="12" t="inlineStr">
        <is>
          <t>Exemple contenant [harf_p_90]</t>
        </is>
      </c>
    </row>
    <row r="123" ht="25" customHeight="1">
      <c r="A123" s="16" t="n">
        <v>119</v>
      </c>
      <c r="B123" s="17" t="inlineStr">
        <is>
          <t>حَرْف_Programmatic_91</t>
        </is>
      </c>
      <c r="C123" s="18" t="inlineStr">
        <is>
          <t>harf_p_91</t>
        </is>
      </c>
      <c r="D123" s="19" t="inlineStr">
        <is>
          <t>—</t>
        </is>
      </c>
      <c r="E123" s="19" t="inlineStr">
        <is>
          <t>Particle</t>
        </is>
      </c>
      <c r="F123" s="20" t="n">
        <v>2</v>
      </c>
      <c r="G123" s="21">
        <f>F123/$F$178</f>
        <v/>
      </c>
      <c r="H123" s="21">
        <f>F123/77429</f>
        <v/>
      </c>
      <c r="I123" s="21">
        <f>I122+G123</f>
        <v/>
      </c>
      <c r="J123" s="19" t="inlineStr">
        <is>
          <t>Standard particle usage</t>
        </is>
      </c>
      <c r="K123" s="19" t="inlineStr">
        <is>
          <t>সাধারণ অব্যয়</t>
        </is>
      </c>
      <c r="L123" s="19" t="inlineStr">
        <is>
          <t>عام حرف</t>
        </is>
      </c>
      <c r="M123" s="19" t="inlineStr">
        <is>
          <t>partikel</t>
        </is>
      </c>
      <c r="N123" s="19" t="inlineStr">
        <is>
          <t>edat</t>
        </is>
      </c>
      <c r="O123" s="19" t="inlineStr">
        <is>
          <t>particule</t>
        </is>
      </c>
      <c r="P123" s="18" t="inlineStr">
        <is>
          <t>Standard Quranic sense.</t>
        </is>
      </c>
      <c r="Q123" s="19" t="inlineStr">
        <is>
          <t>Surah Ref</t>
        </is>
      </c>
      <c r="R123" s="17" t="inlineStr">
        <is>
          <t>【حَرْف_Programmatic_91】</t>
        </is>
      </c>
      <c r="S123" s="19" t="inlineStr">
        <is>
          <t>Example containing [harf_p_91]</t>
        </is>
      </c>
      <c r="T123" s="19" t="inlineStr">
        <is>
          <t>উদাহরণস্বরূপ [সাধারণ অব্যয়]</t>
        </is>
      </c>
      <c r="U123" s="19" t="inlineStr">
        <is>
          <t>مثال برائے [عام حرف]</t>
        </is>
      </c>
      <c r="V123" s="19" t="inlineStr">
        <is>
          <t>Contoh mengandung [harf_p_91]</t>
        </is>
      </c>
      <c r="W123" s="19" t="inlineStr">
        <is>
          <t>Örnek [harf_p_91]</t>
        </is>
      </c>
      <c r="X123" s="19" t="inlineStr">
        <is>
          <t>Exemple contenant [harf_p_91]</t>
        </is>
      </c>
    </row>
    <row r="124" ht="25" customHeight="1">
      <c r="A124" s="9" t="n">
        <v>120</v>
      </c>
      <c r="B124" s="22" t="inlineStr">
        <is>
          <t>حَرْف_Programmatic_92</t>
        </is>
      </c>
      <c r="C124" s="23" t="inlineStr">
        <is>
          <t>harf_p_92</t>
        </is>
      </c>
      <c r="D124" s="12" t="inlineStr">
        <is>
          <t>—</t>
        </is>
      </c>
      <c r="E124" s="12" t="inlineStr">
        <is>
          <t>Particle</t>
        </is>
      </c>
      <c r="F124" s="24" t="n">
        <v>2</v>
      </c>
      <c r="G124" s="25">
        <f>F124/$F$178</f>
        <v/>
      </c>
      <c r="H124" s="25">
        <f>F124/77429</f>
        <v/>
      </c>
      <c r="I124" s="25">
        <f>I123+G124</f>
        <v/>
      </c>
      <c r="J124" s="12" t="inlineStr">
        <is>
          <t>Standard particle usage</t>
        </is>
      </c>
      <c r="K124" s="12" t="inlineStr">
        <is>
          <t>সাধারণ অব্যয়</t>
        </is>
      </c>
      <c r="L124" s="12" t="inlineStr">
        <is>
          <t>عام حرف</t>
        </is>
      </c>
      <c r="M124" s="12" t="inlineStr">
        <is>
          <t>partikel</t>
        </is>
      </c>
      <c r="N124" s="12" t="inlineStr">
        <is>
          <t>edat</t>
        </is>
      </c>
      <c r="O124" s="12" t="inlineStr">
        <is>
          <t>particule</t>
        </is>
      </c>
      <c r="P124" s="23" t="inlineStr">
        <is>
          <t>Standard Quranic sense.</t>
        </is>
      </c>
      <c r="Q124" s="12" t="inlineStr">
        <is>
          <t>Surah Ref</t>
        </is>
      </c>
      <c r="R124" s="22" t="inlineStr">
        <is>
          <t>【حَرْف_Programmatic_92】</t>
        </is>
      </c>
      <c r="S124" s="12" t="inlineStr">
        <is>
          <t>Example containing [harf_p_92]</t>
        </is>
      </c>
      <c r="T124" s="12" t="inlineStr">
        <is>
          <t>উদাহরণস্বরূপ [সাধারণ অব্যয়]</t>
        </is>
      </c>
      <c r="U124" s="12" t="inlineStr">
        <is>
          <t>مثال برائے [عام حرف]</t>
        </is>
      </c>
      <c r="V124" s="12" t="inlineStr">
        <is>
          <t>Contoh mengandung [harf_p_92]</t>
        </is>
      </c>
      <c r="W124" s="12" t="inlineStr">
        <is>
          <t>Örnek [harf_p_92]</t>
        </is>
      </c>
      <c r="X124" s="12" t="inlineStr">
        <is>
          <t>Exemple contenant [harf_p_92]</t>
        </is>
      </c>
    </row>
    <row r="125" ht="25" customHeight="1">
      <c r="A125" s="16" t="n">
        <v>121</v>
      </c>
      <c r="B125" s="17" t="inlineStr">
        <is>
          <t>حَرْف_Programmatic_93</t>
        </is>
      </c>
      <c r="C125" s="18" t="inlineStr">
        <is>
          <t>harf_p_93</t>
        </is>
      </c>
      <c r="D125" s="19" t="inlineStr">
        <is>
          <t>—</t>
        </is>
      </c>
      <c r="E125" s="19" t="inlineStr">
        <is>
          <t>Particle</t>
        </is>
      </c>
      <c r="F125" s="20" t="n">
        <v>2</v>
      </c>
      <c r="G125" s="21">
        <f>F125/$F$178</f>
        <v/>
      </c>
      <c r="H125" s="21">
        <f>F125/77429</f>
        <v/>
      </c>
      <c r="I125" s="21">
        <f>I124+G125</f>
        <v/>
      </c>
      <c r="J125" s="19" t="inlineStr">
        <is>
          <t>Standard particle usage</t>
        </is>
      </c>
      <c r="K125" s="19" t="inlineStr">
        <is>
          <t>সাধারণ অব্যয়</t>
        </is>
      </c>
      <c r="L125" s="19" t="inlineStr">
        <is>
          <t>عام حرف</t>
        </is>
      </c>
      <c r="M125" s="19" t="inlineStr">
        <is>
          <t>partikel</t>
        </is>
      </c>
      <c r="N125" s="19" t="inlineStr">
        <is>
          <t>edat</t>
        </is>
      </c>
      <c r="O125" s="19" t="inlineStr">
        <is>
          <t>particule</t>
        </is>
      </c>
      <c r="P125" s="18" t="inlineStr">
        <is>
          <t>Standard Quranic sense.</t>
        </is>
      </c>
      <c r="Q125" s="19" t="inlineStr">
        <is>
          <t>Surah Ref</t>
        </is>
      </c>
      <c r="R125" s="17" t="inlineStr">
        <is>
          <t>【حَرْف_Programmatic_93】</t>
        </is>
      </c>
      <c r="S125" s="19" t="inlineStr">
        <is>
          <t>Example containing [harf_p_93]</t>
        </is>
      </c>
      <c r="T125" s="19" t="inlineStr">
        <is>
          <t>উদাহরণস্বরূপ [সাধারণ অব্যয়]</t>
        </is>
      </c>
      <c r="U125" s="19" t="inlineStr">
        <is>
          <t>مثال برائے [عام حرف]</t>
        </is>
      </c>
      <c r="V125" s="19" t="inlineStr">
        <is>
          <t>Contoh mengandung [harf_p_93]</t>
        </is>
      </c>
      <c r="W125" s="19" t="inlineStr">
        <is>
          <t>Örnek [harf_p_93]</t>
        </is>
      </c>
      <c r="X125" s="19" t="inlineStr">
        <is>
          <t>Exemple contenant [harf_p_93]</t>
        </is>
      </c>
    </row>
    <row r="126" ht="25" customHeight="1">
      <c r="A126" s="9" t="n">
        <v>122</v>
      </c>
      <c r="B126" s="22" t="inlineStr">
        <is>
          <t>حَرْف_Programmatic_94</t>
        </is>
      </c>
      <c r="C126" s="23" t="inlineStr">
        <is>
          <t>harf_p_94</t>
        </is>
      </c>
      <c r="D126" s="12" t="inlineStr">
        <is>
          <t>—</t>
        </is>
      </c>
      <c r="E126" s="12" t="inlineStr">
        <is>
          <t>Particle</t>
        </is>
      </c>
      <c r="F126" s="24" t="n">
        <v>2</v>
      </c>
      <c r="G126" s="25">
        <f>F126/$F$178</f>
        <v/>
      </c>
      <c r="H126" s="25">
        <f>F126/77429</f>
        <v/>
      </c>
      <c r="I126" s="25">
        <f>I125+G126</f>
        <v/>
      </c>
      <c r="J126" s="12" t="inlineStr">
        <is>
          <t>Standard particle usage</t>
        </is>
      </c>
      <c r="K126" s="12" t="inlineStr">
        <is>
          <t>সাধারণ অব্যয়</t>
        </is>
      </c>
      <c r="L126" s="12" t="inlineStr">
        <is>
          <t>عام حرف</t>
        </is>
      </c>
      <c r="M126" s="12" t="inlineStr">
        <is>
          <t>partikel</t>
        </is>
      </c>
      <c r="N126" s="12" t="inlineStr">
        <is>
          <t>edat</t>
        </is>
      </c>
      <c r="O126" s="12" t="inlineStr">
        <is>
          <t>particule</t>
        </is>
      </c>
      <c r="P126" s="23" t="inlineStr">
        <is>
          <t>Standard Quranic sense.</t>
        </is>
      </c>
      <c r="Q126" s="12" t="inlineStr">
        <is>
          <t>Surah Ref</t>
        </is>
      </c>
      <c r="R126" s="22" t="inlineStr">
        <is>
          <t>【حَرْف_Programmatic_94】</t>
        </is>
      </c>
      <c r="S126" s="12" t="inlineStr">
        <is>
          <t>Example containing [harf_p_94]</t>
        </is>
      </c>
      <c r="T126" s="12" t="inlineStr">
        <is>
          <t>উদাহরণস্বরূপ [সাধারণ অব্যয়]</t>
        </is>
      </c>
      <c r="U126" s="12" t="inlineStr">
        <is>
          <t>مثال برائے [عام حرف]</t>
        </is>
      </c>
      <c r="V126" s="12" t="inlineStr">
        <is>
          <t>Contoh mengandung [harf_p_94]</t>
        </is>
      </c>
      <c r="W126" s="12" t="inlineStr">
        <is>
          <t>Örnek [harf_p_94]</t>
        </is>
      </c>
      <c r="X126" s="12" t="inlineStr">
        <is>
          <t>Exemple contenant [harf_p_94]</t>
        </is>
      </c>
    </row>
    <row r="127" ht="25" customHeight="1">
      <c r="A127" s="16" t="n">
        <v>123</v>
      </c>
      <c r="B127" s="17" t="inlineStr">
        <is>
          <t>حَرْف_Programmatic_95</t>
        </is>
      </c>
      <c r="C127" s="18" t="inlineStr">
        <is>
          <t>harf_p_95</t>
        </is>
      </c>
      <c r="D127" s="19" t="inlineStr">
        <is>
          <t>—</t>
        </is>
      </c>
      <c r="E127" s="19" t="inlineStr">
        <is>
          <t>Particle</t>
        </is>
      </c>
      <c r="F127" s="20" t="n">
        <v>2</v>
      </c>
      <c r="G127" s="21">
        <f>F127/$F$178</f>
        <v/>
      </c>
      <c r="H127" s="21">
        <f>F127/77429</f>
        <v/>
      </c>
      <c r="I127" s="21">
        <f>I126+G127</f>
        <v/>
      </c>
      <c r="J127" s="19" t="inlineStr">
        <is>
          <t>Standard particle usage</t>
        </is>
      </c>
      <c r="K127" s="19" t="inlineStr">
        <is>
          <t>সাধারণ অব্যয়</t>
        </is>
      </c>
      <c r="L127" s="19" t="inlineStr">
        <is>
          <t>عام حرف</t>
        </is>
      </c>
      <c r="M127" s="19" t="inlineStr">
        <is>
          <t>partikel</t>
        </is>
      </c>
      <c r="N127" s="19" t="inlineStr">
        <is>
          <t>edat</t>
        </is>
      </c>
      <c r="O127" s="19" t="inlineStr">
        <is>
          <t>particule</t>
        </is>
      </c>
      <c r="P127" s="18" t="inlineStr">
        <is>
          <t>Standard Quranic sense.</t>
        </is>
      </c>
      <c r="Q127" s="19" t="inlineStr">
        <is>
          <t>Surah Ref</t>
        </is>
      </c>
      <c r="R127" s="17" t="inlineStr">
        <is>
          <t>【حَرْف_Programmatic_95】</t>
        </is>
      </c>
      <c r="S127" s="19" t="inlineStr">
        <is>
          <t>Example containing [harf_p_95]</t>
        </is>
      </c>
      <c r="T127" s="19" t="inlineStr">
        <is>
          <t>উদাহরণস্বরূপ [সাধারণ অব্যয়]</t>
        </is>
      </c>
      <c r="U127" s="19" t="inlineStr">
        <is>
          <t>مثال برائے [عام حرف]</t>
        </is>
      </c>
      <c r="V127" s="19" t="inlineStr">
        <is>
          <t>Contoh mengandung [harf_p_95]</t>
        </is>
      </c>
      <c r="W127" s="19" t="inlineStr">
        <is>
          <t>Örnek [harf_p_95]</t>
        </is>
      </c>
      <c r="X127" s="19" t="inlineStr">
        <is>
          <t>Exemple contenant [harf_p_95]</t>
        </is>
      </c>
    </row>
    <row r="128" ht="25" customHeight="1">
      <c r="A128" s="9" t="n">
        <v>124</v>
      </c>
      <c r="B128" s="22" t="inlineStr">
        <is>
          <t>حَرْف_Programmatic_96</t>
        </is>
      </c>
      <c r="C128" s="23" t="inlineStr">
        <is>
          <t>harf_p_96</t>
        </is>
      </c>
      <c r="D128" s="12" t="inlineStr">
        <is>
          <t>—</t>
        </is>
      </c>
      <c r="E128" s="12" t="inlineStr">
        <is>
          <t>Particle</t>
        </is>
      </c>
      <c r="F128" s="24" t="n">
        <v>2</v>
      </c>
      <c r="G128" s="25">
        <f>F128/$F$178</f>
        <v/>
      </c>
      <c r="H128" s="25">
        <f>F128/77429</f>
        <v/>
      </c>
      <c r="I128" s="25">
        <f>I127+G128</f>
        <v/>
      </c>
      <c r="J128" s="12" t="inlineStr">
        <is>
          <t>Standard particle usage</t>
        </is>
      </c>
      <c r="K128" s="12" t="inlineStr">
        <is>
          <t>সাধারণ অব্যয়</t>
        </is>
      </c>
      <c r="L128" s="12" t="inlineStr">
        <is>
          <t>عام حرف</t>
        </is>
      </c>
      <c r="M128" s="12" t="inlineStr">
        <is>
          <t>partikel</t>
        </is>
      </c>
      <c r="N128" s="12" t="inlineStr">
        <is>
          <t>edat</t>
        </is>
      </c>
      <c r="O128" s="12" t="inlineStr">
        <is>
          <t>particule</t>
        </is>
      </c>
      <c r="P128" s="23" t="inlineStr">
        <is>
          <t>Standard Quranic sense.</t>
        </is>
      </c>
      <c r="Q128" s="12" t="inlineStr">
        <is>
          <t>Surah Ref</t>
        </is>
      </c>
      <c r="R128" s="22" t="inlineStr">
        <is>
          <t>【حَرْف_Programmatic_96】</t>
        </is>
      </c>
      <c r="S128" s="12" t="inlineStr">
        <is>
          <t>Example containing [harf_p_96]</t>
        </is>
      </c>
      <c r="T128" s="12" t="inlineStr">
        <is>
          <t>উদাহরণস্বরূপ [সাধারণ অব্যয়]</t>
        </is>
      </c>
      <c r="U128" s="12" t="inlineStr">
        <is>
          <t>مثال برائے [عام حرف]</t>
        </is>
      </c>
      <c r="V128" s="12" t="inlineStr">
        <is>
          <t>Contoh mengandung [harf_p_96]</t>
        </is>
      </c>
      <c r="W128" s="12" t="inlineStr">
        <is>
          <t>Örnek [harf_p_96]</t>
        </is>
      </c>
      <c r="X128" s="12" t="inlineStr">
        <is>
          <t>Exemple contenant [harf_p_96]</t>
        </is>
      </c>
    </row>
    <row r="129" ht="25" customHeight="1">
      <c r="A129" s="16" t="n">
        <v>125</v>
      </c>
      <c r="B129" s="17" t="inlineStr">
        <is>
          <t>حَرْف_Programmatic_97</t>
        </is>
      </c>
      <c r="C129" s="18" t="inlineStr">
        <is>
          <t>harf_p_97</t>
        </is>
      </c>
      <c r="D129" s="19" t="inlineStr">
        <is>
          <t>—</t>
        </is>
      </c>
      <c r="E129" s="19" t="inlineStr">
        <is>
          <t>Particle</t>
        </is>
      </c>
      <c r="F129" s="20" t="n">
        <v>2</v>
      </c>
      <c r="G129" s="21">
        <f>F129/$F$178</f>
        <v/>
      </c>
      <c r="H129" s="21">
        <f>F129/77429</f>
        <v/>
      </c>
      <c r="I129" s="21">
        <f>I128+G129</f>
        <v/>
      </c>
      <c r="J129" s="19" t="inlineStr">
        <is>
          <t>Standard particle usage</t>
        </is>
      </c>
      <c r="K129" s="19" t="inlineStr">
        <is>
          <t>সাধারণ অব্যয়</t>
        </is>
      </c>
      <c r="L129" s="19" t="inlineStr">
        <is>
          <t>عام حرف</t>
        </is>
      </c>
      <c r="M129" s="19" t="inlineStr">
        <is>
          <t>partikel</t>
        </is>
      </c>
      <c r="N129" s="19" t="inlineStr">
        <is>
          <t>edat</t>
        </is>
      </c>
      <c r="O129" s="19" t="inlineStr">
        <is>
          <t>particule</t>
        </is>
      </c>
      <c r="P129" s="18" t="inlineStr">
        <is>
          <t>Standard Quranic sense.</t>
        </is>
      </c>
      <c r="Q129" s="19" t="inlineStr">
        <is>
          <t>Surah Ref</t>
        </is>
      </c>
      <c r="R129" s="17" t="inlineStr">
        <is>
          <t>【حَرْف_Programmatic_97】</t>
        </is>
      </c>
      <c r="S129" s="19" t="inlineStr">
        <is>
          <t>Example containing [harf_p_97]</t>
        </is>
      </c>
      <c r="T129" s="19" t="inlineStr">
        <is>
          <t>উদাহরণস্বরূপ [সাধারণ অব্যয়]</t>
        </is>
      </c>
      <c r="U129" s="19" t="inlineStr">
        <is>
          <t>مثال برائے [عام حرف]</t>
        </is>
      </c>
      <c r="V129" s="19" t="inlineStr">
        <is>
          <t>Contoh mengandung [harf_p_97]</t>
        </is>
      </c>
      <c r="W129" s="19" t="inlineStr">
        <is>
          <t>Örnek [harf_p_97]</t>
        </is>
      </c>
      <c r="X129" s="19" t="inlineStr">
        <is>
          <t>Exemple contenant [harf_p_97]</t>
        </is>
      </c>
    </row>
    <row r="130" ht="25" customHeight="1">
      <c r="A130" s="9" t="n">
        <v>126</v>
      </c>
      <c r="B130" s="22" t="inlineStr">
        <is>
          <t>حَرْف_Programmatic_98</t>
        </is>
      </c>
      <c r="C130" s="23" t="inlineStr">
        <is>
          <t>harf_p_98</t>
        </is>
      </c>
      <c r="D130" s="12" t="inlineStr">
        <is>
          <t>—</t>
        </is>
      </c>
      <c r="E130" s="12" t="inlineStr">
        <is>
          <t>Particle</t>
        </is>
      </c>
      <c r="F130" s="24" t="n">
        <v>2</v>
      </c>
      <c r="G130" s="25">
        <f>F130/$F$178</f>
        <v/>
      </c>
      <c r="H130" s="25">
        <f>F130/77429</f>
        <v/>
      </c>
      <c r="I130" s="25">
        <f>I129+G130</f>
        <v/>
      </c>
      <c r="J130" s="12" t="inlineStr">
        <is>
          <t>Standard particle usage</t>
        </is>
      </c>
      <c r="K130" s="12" t="inlineStr">
        <is>
          <t>সাধারণ অব্যয়</t>
        </is>
      </c>
      <c r="L130" s="12" t="inlineStr">
        <is>
          <t>عام حرف</t>
        </is>
      </c>
      <c r="M130" s="12" t="inlineStr">
        <is>
          <t>partikel</t>
        </is>
      </c>
      <c r="N130" s="12" t="inlineStr">
        <is>
          <t>edat</t>
        </is>
      </c>
      <c r="O130" s="12" t="inlineStr">
        <is>
          <t>particule</t>
        </is>
      </c>
      <c r="P130" s="23" t="inlineStr">
        <is>
          <t>Standard Quranic sense.</t>
        </is>
      </c>
      <c r="Q130" s="12" t="inlineStr">
        <is>
          <t>Surah Ref</t>
        </is>
      </c>
      <c r="R130" s="22" t="inlineStr">
        <is>
          <t>【حَرْف_Programmatic_98】</t>
        </is>
      </c>
      <c r="S130" s="12" t="inlineStr">
        <is>
          <t>Example containing [harf_p_98]</t>
        </is>
      </c>
      <c r="T130" s="12" t="inlineStr">
        <is>
          <t>উদাহরণস্বরূপ [সাধারণ অব্যয়]</t>
        </is>
      </c>
      <c r="U130" s="12" t="inlineStr">
        <is>
          <t>مثال برائے [عام حرف]</t>
        </is>
      </c>
      <c r="V130" s="12" t="inlineStr">
        <is>
          <t>Contoh mengandung [harf_p_98]</t>
        </is>
      </c>
      <c r="W130" s="12" t="inlineStr">
        <is>
          <t>Örnek [harf_p_98]</t>
        </is>
      </c>
      <c r="X130" s="12" t="inlineStr">
        <is>
          <t>Exemple contenant [harf_p_98]</t>
        </is>
      </c>
    </row>
    <row r="131" ht="25" customHeight="1">
      <c r="A131" s="16" t="n">
        <v>127</v>
      </c>
      <c r="B131" s="17" t="inlineStr">
        <is>
          <t>حَرْف_Programmatic_99</t>
        </is>
      </c>
      <c r="C131" s="18" t="inlineStr">
        <is>
          <t>harf_p_99</t>
        </is>
      </c>
      <c r="D131" s="19" t="inlineStr">
        <is>
          <t>—</t>
        </is>
      </c>
      <c r="E131" s="19" t="inlineStr">
        <is>
          <t>Particle</t>
        </is>
      </c>
      <c r="F131" s="20" t="n">
        <v>2</v>
      </c>
      <c r="G131" s="21">
        <f>F131/$F$178</f>
        <v/>
      </c>
      <c r="H131" s="21">
        <f>F131/77429</f>
        <v/>
      </c>
      <c r="I131" s="21">
        <f>I130+G131</f>
        <v/>
      </c>
      <c r="J131" s="19" t="inlineStr">
        <is>
          <t>Standard particle usage</t>
        </is>
      </c>
      <c r="K131" s="19" t="inlineStr">
        <is>
          <t>সাধারণ অব্যয়</t>
        </is>
      </c>
      <c r="L131" s="19" t="inlineStr">
        <is>
          <t>عام حرف</t>
        </is>
      </c>
      <c r="M131" s="19" t="inlineStr">
        <is>
          <t>partikel</t>
        </is>
      </c>
      <c r="N131" s="19" t="inlineStr">
        <is>
          <t>edat</t>
        </is>
      </c>
      <c r="O131" s="19" t="inlineStr">
        <is>
          <t>particule</t>
        </is>
      </c>
      <c r="P131" s="18" t="inlineStr">
        <is>
          <t>Standard Quranic sense.</t>
        </is>
      </c>
      <c r="Q131" s="19" t="inlineStr">
        <is>
          <t>Surah Ref</t>
        </is>
      </c>
      <c r="R131" s="17" t="inlineStr">
        <is>
          <t>【حَرْف_Programmatic_99】</t>
        </is>
      </c>
      <c r="S131" s="19" t="inlineStr">
        <is>
          <t>Example containing [harf_p_99]</t>
        </is>
      </c>
      <c r="T131" s="19" t="inlineStr">
        <is>
          <t>উদাহরণস্বরূপ [সাধারণ অব্যয়]</t>
        </is>
      </c>
      <c r="U131" s="19" t="inlineStr">
        <is>
          <t>مثال برائے [عام حرف]</t>
        </is>
      </c>
      <c r="V131" s="19" t="inlineStr">
        <is>
          <t>Contoh mengandung [harf_p_99]</t>
        </is>
      </c>
      <c r="W131" s="19" t="inlineStr">
        <is>
          <t>Örnek [harf_p_99]</t>
        </is>
      </c>
      <c r="X131" s="19" t="inlineStr">
        <is>
          <t>Exemple contenant [harf_p_99]</t>
        </is>
      </c>
    </row>
    <row r="132" ht="25" customHeight="1">
      <c r="A132" s="9" t="n">
        <v>128</v>
      </c>
      <c r="B132" s="22" t="inlineStr">
        <is>
          <t>حَرْف_Programmatic_100</t>
        </is>
      </c>
      <c r="C132" s="23" t="inlineStr">
        <is>
          <t>harf_p_100</t>
        </is>
      </c>
      <c r="D132" s="12" t="inlineStr">
        <is>
          <t>—</t>
        </is>
      </c>
      <c r="E132" s="12" t="inlineStr">
        <is>
          <t>Particle</t>
        </is>
      </c>
      <c r="F132" s="24" t="n">
        <v>2</v>
      </c>
      <c r="G132" s="25">
        <f>F132/$F$178</f>
        <v/>
      </c>
      <c r="H132" s="25">
        <f>F132/77429</f>
        <v/>
      </c>
      <c r="I132" s="25">
        <f>I131+G132</f>
        <v/>
      </c>
      <c r="J132" s="12" t="inlineStr">
        <is>
          <t>Standard particle usage</t>
        </is>
      </c>
      <c r="K132" s="12" t="inlineStr">
        <is>
          <t>সাধারণ অব্যয়</t>
        </is>
      </c>
      <c r="L132" s="12" t="inlineStr">
        <is>
          <t>عام حرف</t>
        </is>
      </c>
      <c r="M132" s="12" t="inlineStr">
        <is>
          <t>partikel</t>
        </is>
      </c>
      <c r="N132" s="12" t="inlineStr">
        <is>
          <t>edat</t>
        </is>
      </c>
      <c r="O132" s="12" t="inlineStr">
        <is>
          <t>particule</t>
        </is>
      </c>
      <c r="P132" s="23" t="inlineStr">
        <is>
          <t>Standard Quranic sense.</t>
        </is>
      </c>
      <c r="Q132" s="12" t="inlineStr">
        <is>
          <t>Surah Ref</t>
        </is>
      </c>
      <c r="R132" s="22" t="inlineStr">
        <is>
          <t>【حَرْف_Programmatic_100】</t>
        </is>
      </c>
      <c r="S132" s="12" t="inlineStr">
        <is>
          <t>Example containing [harf_p_100]</t>
        </is>
      </c>
      <c r="T132" s="12" t="inlineStr">
        <is>
          <t>উদাহরণস্বরূপ [সাধারণ অব্যয়]</t>
        </is>
      </c>
      <c r="U132" s="12" t="inlineStr">
        <is>
          <t>مثال برائے [عام حرف]</t>
        </is>
      </c>
      <c r="V132" s="12" t="inlineStr">
        <is>
          <t>Contoh mengandung [harf_p_100]</t>
        </is>
      </c>
      <c r="W132" s="12" t="inlineStr">
        <is>
          <t>Örnek [harf_p_100]</t>
        </is>
      </c>
      <c r="X132" s="12" t="inlineStr">
        <is>
          <t>Exemple contenant [harf_p_100]</t>
        </is>
      </c>
    </row>
    <row r="133" ht="25" customHeight="1">
      <c r="A133" s="16" t="n">
        <v>129</v>
      </c>
      <c r="B133" s="17" t="inlineStr">
        <is>
          <t>حَرْف_Programmatic_101</t>
        </is>
      </c>
      <c r="C133" s="18" t="inlineStr">
        <is>
          <t>harf_p_101</t>
        </is>
      </c>
      <c r="D133" s="19" t="inlineStr">
        <is>
          <t>—</t>
        </is>
      </c>
      <c r="E133" s="19" t="inlineStr">
        <is>
          <t>Particle</t>
        </is>
      </c>
      <c r="F133" s="20" t="n">
        <v>2</v>
      </c>
      <c r="G133" s="21">
        <f>F133/$F$178</f>
        <v/>
      </c>
      <c r="H133" s="21">
        <f>F133/77429</f>
        <v/>
      </c>
      <c r="I133" s="21">
        <f>I132+G133</f>
        <v/>
      </c>
      <c r="J133" s="19" t="inlineStr">
        <is>
          <t>Standard particle usage</t>
        </is>
      </c>
      <c r="K133" s="19" t="inlineStr">
        <is>
          <t>সাধারণ অব্যয়</t>
        </is>
      </c>
      <c r="L133" s="19" t="inlineStr">
        <is>
          <t>عام حرف</t>
        </is>
      </c>
      <c r="M133" s="19" t="inlineStr">
        <is>
          <t>partikel</t>
        </is>
      </c>
      <c r="N133" s="19" t="inlineStr">
        <is>
          <t>edat</t>
        </is>
      </c>
      <c r="O133" s="19" t="inlineStr">
        <is>
          <t>particule</t>
        </is>
      </c>
      <c r="P133" s="18" t="inlineStr">
        <is>
          <t>Standard Quranic sense.</t>
        </is>
      </c>
      <c r="Q133" s="19" t="inlineStr">
        <is>
          <t>Surah Ref</t>
        </is>
      </c>
      <c r="R133" s="17" t="inlineStr">
        <is>
          <t>【حَرْف_Programmatic_101】</t>
        </is>
      </c>
      <c r="S133" s="19" t="inlineStr">
        <is>
          <t>Example containing [harf_p_101]</t>
        </is>
      </c>
      <c r="T133" s="19" t="inlineStr">
        <is>
          <t>উদাহরণস্বরূপ [সাধারণ অব্যয়]</t>
        </is>
      </c>
      <c r="U133" s="19" t="inlineStr">
        <is>
          <t>مثال برائے [عام حرف]</t>
        </is>
      </c>
      <c r="V133" s="19" t="inlineStr">
        <is>
          <t>Contoh mengandung [harf_p_101]</t>
        </is>
      </c>
      <c r="W133" s="19" t="inlineStr">
        <is>
          <t>Örnek [harf_p_101]</t>
        </is>
      </c>
      <c r="X133" s="19" t="inlineStr">
        <is>
          <t>Exemple contenant [harf_p_101]</t>
        </is>
      </c>
    </row>
    <row r="134" ht="25" customHeight="1">
      <c r="A134" s="9" t="n">
        <v>130</v>
      </c>
      <c r="B134" s="22" t="inlineStr">
        <is>
          <t>حَرْف_Programmatic_102</t>
        </is>
      </c>
      <c r="C134" s="23" t="inlineStr">
        <is>
          <t>harf_p_102</t>
        </is>
      </c>
      <c r="D134" s="12" t="inlineStr">
        <is>
          <t>—</t>
        </is>
      </c>
      <c r="E134" s="12" t="inlineStr">
        <is>
          <t>Particle</t>
        </is>
      </c>
      <c r="F134" s="24" t="n">
        <v>2</v>
      </c>
      <c r="G134" s="25">
        <f>F134/$F$178</f>
        <v/>
      </c>
      <c r="H134" s="25">
        <f>F134/77429</f>
        <v/>
      </c>
      <c r="I134" s="25">
        <f>I133+G134</f>
        <v/>
      </c>
      <c r="J134" s="12" t="inlineStr">
        <is>
          <t>Standard particle usage</t>
        </is>
      </c>
      <c r="K134" s="12" t="inlineStr">
        <is>
          <t>সাধারণ অব্যয়</t>
        </is>
      </c>
      <c r="L134" s="12" t="inlineStr">
        <is>
          <t>عام حرف</t>
        </is>
      </c>
      <c r="M134" s="12" t="inlineStr">
        <is>
          <t>partikel</t>
        </is>
      </c>
      <c r="N134" s="12" t="inlineStr">
        <is>
          <t>edat</t>
        </is>
      </c>
      <c r="O134" s="12" t="inlineStr">
        <is>
          <t>particule</t>
        </is>
      </c>
      <c r="P134" s="23" t="inlineStr">
        <is>
          <t>Standard Quranic sense.</t>
        </is>
      </c>
      <c r="Q134" s="12" t="inlineStr">
        <is>
          <t>Surah Ref</t>
        </is>
      </c>
      <c r="R134" s="22" t="inlineStr">
        <is>
          <t>【حَرْف_Programmatic_102】</t>
        </is>
      </c>
      <c r="S134" s="12" t="inlineStr">
        <is>
          <t>Example containing [harf_p_102]</t>
        </is>
      </c>
      <c r="T134" s="12" t="inlineStr">
        <is>
          <t>উদাহরণস্বরূপ [সাধারণ অব্যয়]</t>
        </is>
      </c>
      <c r="U134" s="12" t="inlineStr">
        <is>
          <t>مثال برائے [عام حرف]</t>
        </is>
      </c>
      <c r="V134" s="12" t="inlineStr">
        <is>
          <t>Contoh mengandung [harf_p_102]</t>
        </is>
      </c>
      <c r="W134" s="12" t="inlineStr">
        <is>
          <t>Örnek [harf_p_102]</t>
        </is>
      </c>
      <c r="X134" s="12" t="inlineStr">
        <is>
          <t>Exemple contenant [harf_p_102]</t>
        </is>
      </c>
    </row>
    <row r="135" ht="25" customHeight="1">
      <c r="A135" s="16" t="n">
        <v>131</v>
      </c>
      <c r="B135" s="17" t="inlineStr">
        <is>
          <t>حَرْف_Programmatic_103</t>
        </is>
      </c>
      <c r="C135" s="18" t="inlineStr">
        <is>
          <t>harf_p_103</t>
        </is>
      </c>
      <c r="D135" s="19" t="inlineStr">
        <is>
          <t>—</t>
        </is>
      </c>
      <c r="E135" s="19" t="inlineStr">
        <is>
          <t>Particle</t>
        </is>
      </c>
      <c r="F135" s="20" t="n">
        <v>2</v>
      </c>
      <c r="G135" s="21">
        <f>F135/$F$178</f>
        <v/>
      </c>
      <c r="H135" s="21">
        <f>F135/77429</f>
        <v/>
      </c>
      <c r="I135" s="21">
        <f>I134+G135</f>
        <v/>
      </c>
      <c r="J135" s="19" t="inlineStr">
        <is>
          <t>Standard particle usage</t>
        </is>
      </c>
      <c r="K135" s="19" t="inlineStr">
        <is>
          <t>সাধারণ অব্যয়</t>
        </is>
      </c>
      <c r="L135" s="19" t="inlineStr">
        <is>
          <t>عام حرف</t>
        </is>
      </c>
      <c r="M135" s="19" t="inlineStr">
        <is>
          <t>partikel</t>
        </is>
      </c>
      <c r="N135" s="19" t="inlineStr">
        <is>
          <t>edat</t>
        </is>
      </c>
      <c r="O135" s="19" t="inlineStr">
        <is>
          <t>particule</t>
        </is>
      </c>
      <c r="P135" s="18" t="inlineStr">
        <is>
          <t>Standard Quranic sense.</t>
        </is>
      </c>
      <c r="Q135" s="19" t="inlineStr">
        <is>
          <t>Surah Ref</t>
        </is>
      </c>
      <c r="R135" s="17" t="inlineStr">
        <is>
          <t>【حَرْف_Programmatic_103】</t>
        </is>
      </c>
      <c r="S135" s="19" t="inlineStr">
        <is>
          <t>Example containing [harf_p_103]</t>
        </is>
      </c>
      <c r="T135" s="19" t="inlineStr">
        <is>
          <t>উদাহরণস্বরূপ [সাধারণ অব্যয়]</t>
        </is>
      </c>
      <c r="U135" s="19" t="inlineStr">
        <is>
          <t>مثال برائے [عام حرف]</t>
        </is>
      </c>
      <c r="V135" s="19" t="inlineStr">
        <is>
          <t>Contoh mengandung [harf_p_103]</t>
        </is>
      </c>
      <c r="W135" s="19" t="inlineStr">
        <is>
          <t>Örnek [harf_p_103]</t>
        </is>
      </c>
      <c r="X135" s="19" t="inlineStr">
        <is>
          <t>Exemple contenant [harf_p_103]</t>
        </is>
      </c>
    </row>
    <row r="136" ht="25" customHeight="1">
      <c r="A136" s="9" t="n">
        <v>132</v>
      </c>
      <c r="B136" s="22" t="inlineStr">
        <is>
          <t>حَرْف_Programmatic_104</t>
        </is>
      </c>
      <c r="C136" s="23" t="inlineStr">
        <is>
          <t>harf_p_104</t>
        </is>
      </c>
      <c r="D136" s="12" t="inlineStr">
        <is>
          <t>—</t>
        </is>
      </c>
      <c r="E136" s="12" t="inlineStr">
        <is>
          <t>Particle</t>
        </is>
      </c>
      <c r="F136" s="24" t="n">
        <v>2</v>
      </c>
      <c r="G136" s="25">
        <f>F136/$F$178</f>
        <v/>
      </c>
      <c r="H136" s="25">
        <f>F136/77429</f>
        <v/>
      </c>
      <c r="I136" s="25">
        <f>I135+G136</f>
        <v/>
      </c>
      <c r="J136" s="12" t="inlineStr">
        <is>
          <t>Standard particle usage</t>
        </is>
      </c>
      <c r="K136" s="12" t="inlineStr">
        <is>
          <t>সাধারণ অব্যয়</t>
        </is>
      </c>
      <c r="L136" s="12" t="inlineStr">
        <is>
          <t>عام حرف</t>
        </is>
      </c>
      <c r="M136" s="12" t="inlineStr">
        <is>
          <t>partikel</t>
        </is>
      </c>
      <c r="N136" s="12" t="inlineStr">
        <is>
          <t>edat</t>
        </is>
      </c>
      <c r="O136" s="12" t="inlineStr">
        <is>
          <t>particule</t>
        </is>
      </c>
      <c r="P136" s="23" t="inlineStr">
        <is>
          <t>Standard Quranic sense.</t>
        </is>
      </c>
      <c r="Q136" s="12" t="inlineStr">
        <is>
          <t>Surah Ref</t>
        </is>
      </c>
      <c r="R136" s="22" t="inlineStr">
        <is>
          <t>【حَرْف_Programmatic_104】</t>
        </is>
      </c>
      <c r="S136" s="12" t="inlineStr">
        <is>
          <t>Example containing [harf_p_104]</t>
        </is>
      </c>
      <c r="T136" s="12" t="inlineStr">
        <is>
          <t>উদাহরণস্বরূপ [সাধারণ অব্যয়]</t>
        </is>
      </c>
      <c r="U136" s="12" t="inlineStr">
        <is>
          <t>مثال برائے [عام حرف]</t>
        </is>
      </c>
      <c r="V136" s="12" t="inlineStr">
        <is>
          <t>Contoh mengandung [harf_p_104]</t>
        </is>
      </c>
      <c r="W136" s="12" t="inlineStr">
        <is>
          <t>Örnek [harf_p_104]</t>
        </is>
      </c>
      <c r="X136" s="12" t="inlineStr">
        <is>
          <t>Exemple contenant [harf_p_104]</t>
        </is>
      </c>
    </row>
    <row r="137" ht="25" customHeight="1">
      <c r="A137" s="16" t="n">
        <v>133</v>
      </c>
      <c r="B137" s="17" t="inlineStr">
        <is>
          <t>حَرْف_Programmatic_105</t>
        </is>
      </c>
      <c r="C137" s="18" t="inlineStr">
        <is>
          <t>harf_p_105</t>
        </is>
      </c>
      <c r="D137" s="19" t="inlineStr">
        <is>
          <t>—</t>
        </is>
      </c>
      <c r="E137" s="19" t="inlineStr">
        <is>
          <t>Particle</t>
        </is>
      </c>
      <c r="F137" s="20" t="n">
        <v>1</v>
      </c>
      <c r="G137" s="21">
        <f>F137/$F$178</f>
        <v/>
      </c>
      <c r="H137" s="21">
        <f>F137/77429</f>
        <v/>
      </c>
      <c r="I137" s="21">
        <f>I136+G137</f>
        <v/>
      </c>
      <c r="J137" s="19" t="inlineStr">
        <is>
          <t>Standard particle usage</t>
        </is>
      </c>
      <c r="K137" s="19" t="inlineStr">
        <is>
          <t>সাধারণ অব্যয়</t>
        </is>
      </c>
      <c r="L137" s="19" t="inlineStr">
        <is>
          <t>عام حرف</t>
        </is>
      </c>
      <c r="M137" s="19" t="inlineStr">
        <is>
          <t>partikel</t>
        </is>
      </c>
      <c r="N137" s="19" t="inlineStr">
        <is>
          <t>edat</t>
        </is>
      </c>
      <c r="O137" s="19" t="inlineStr">
        <is>
          <t>particule</t>
        </is>
      </c>
      <c r="P137" s="18" t="inlineStr">
        <is>
          <t>Standard Quranic sense.</t>
        </is>
      </c>
      <c r="Q137" s="19" t="inlineStr">
        <is>
          <t>Surah Ref</t>
        </is>
      </c>
      <c r="R137" s="17" t="inlineStr">
        <is>
          <t>【حَرْف_Programmatic_105】</t>
        </is>
      </c>
      <c r="S137" s="19" t="inlineStr">
        <is>
          <t>Example containing [harf_p_105]</t>
        </is>
      </c>
      <c r="T137" s="19" t="inlineStr">
        <is>
          <t>উদাহরণস্বরূপ [সাধারণ অব্যয়]</t>
        </is>
      </c>
      <c r="U137" s="19" t="inlineStr">
        <is>
          <t>مثال برائے [عام حرف]</t>
        </is>
      </c>
      <c r="V137" s="19" t="inlineStr">
        <is>
          <t>Contoh mengandung [harf_p_105]</t>
        </is>
      </c>
      <c r="W137" s="19" t="inlineStr">
        <is>
          <t>Örnek [harf_p_105]</t>
        </is>
      </c>
      <c r="X137" s="19" t="inlineStr">
        <is>
          <t>Exemple contenant [harf_p_105]</t>
        </is>
      </c>
    </row>
    <row r="138" ht="25" customHeight="1">
      <c r="A138" s="9" t="n">
        <v>134</v>
      </c>
      <c r="B138" s="22" t="inlineStr">
        <is>
          <t>حَرْف_Programmatic_106</t>
        </is>
      </c>
      <c r="C138" s="23" t="inlineStr">
        <is>
          <t>harf_p_106</t>
        </is>
      </c>
      <c r="D138" s="12" t="inlineStr">
        <is>
          <t>—</t>
        </is>
      </c>
      <c r="E138" s="12" t="inlineStr">
        <is>
          <t>Particle</t>
        </is>
      </c>
      <c r="F138" s="24" t="n">
        <v>1</v>
      </c>
      <c r="G138" s="25">
        <f>F138/$F$178</f>
        <v/>
      </c>
      <c r="H138" s="25">
        <f>F138/77429</f>
        <v/>
      </c>
      <c r="I138" s="25">
        <f>I137+G138</f>
        <v/>
      </c>
      <c r="J138" s="12" t="inlineStr">
        <is>
          <t>Standard particle usage</t>
        </is>
      </c>
      <c r="K138" s="12" t="inlineStr">
        <is>
          <t>সাধারণ অব্যয়</t>
        </is>
      </c>
      <c r="L138" s="12" t="inlineStr">
        <is>
          <t>عام حرف</t>
        </is>
      </c>
      <c r="M138" s="12" t="inlineStr">
        <is>
          <t>partikel</t>
        </is>
      </c>
      <c r="N138" s="12" t="inlineStr">
        <is>
          <t>edat</t>
        </is>
      </c>
      <c r="O138" s="12" t="inlineStr">
        <is>
          <t>particule</t>
        </is>
      </c>
      <c r="P138" s="23" t="inlineStr">
        <is>
          <t>Standard Quranic sense.</t>
        </is>
      </c>
      <c r="Q138" s="12" t="inlineStr">
        <is>
          <t>Surah Ref</t>
        </is>
      </c>
      <c r="R138" s="22" t="inlineStr">
        <is>
          <t>【حَرْف_Programmatic_106】</t>
        </is>
      </c>
      <c r="S138" s="12" t="inlineStr">
        <is>
          <t>Example containing [harf_p_106]</t>
        </is>
      </c>
      <c r="T138" s="12" t="inlineStr">
        <is>
          <t>উদাহরণস্বরূপ [সাধারণ অব্যয়]</t>
        </is>
      </c>
      <c r="U138" s="12" t="inlineStr">
        <is>
          <t>مثال برائے [عام حرف]</t>
        </is>
      </c>
      <c r="V138" s="12" t="inlineStr">
        <is>
          <t>Contoh mengandung [harf_p_106]</t>
        </is>
      </c>
      <c r="W138" s="12" t="inlineStr">
        <is>
          <t>Örnek [harf_p_106]</t>
        </is>
      </c>
      <c r="X138" s="12" t="inlineStr">
        <is>
          <t>Exemple contenant [harf_p_106]</t>
        </is>
      </c>
    </row>
    <row r="139" ht="25" customHeight="1">
      <c r="A139" s="16" t="n">
        <v>135</v>
      </c>
      <c r="B139" s="17" t="inlineStr">
        <is>
          <t>حَرْف_Programmatic_107</t>
        </is>
      </c>
      <c r="C139" s="18" t="inlineStr">
        <is>
          <t>harf_p_107</t>
        </is>
      </c>
      <c r="D139" s="19" t="inlineStr">
        <is>
          <t>—</t>
        </is>
      </c>
      <c r="E139" s="19" t="inlineStr">
        <is>
          <t>Particle</t>
        </is>
      </c>
      <c r="F139" s="20" t="n">
        <v>1</v>
      </c>
      <c r="G139" s="21">
        <f>F139/$F$178</f>
        <v/>
      </c>
      <c r="H139" s="21">
        <f>F139/77429</f>
        <v/>
      </c>
      <c r="I139" s="21">
        <f>I138+G139</f>
        <v/>
      </c>
      <c r="J139" s="19" t="inlineStr">
        <is>
          <t>Standard particle usage</t>
        </is>
      </c>
      <c r="K139" s="19" t="inlineStr">
        <is>
          <t>সাধারণ অব্যয়</t>
        </is>
      </c>
      <c r="L139" s="19" t="inlineStr">
        <is>
          <t>عام حرف</t>
        </is>
      </c>
      <c r="M139" s="19" t="inlineStr">
        <is>
          <t>partikel</t>
        </is>
      </c>
      <c r="N139" s="19" t="inlineStr">
        <is>
          <t>edat</t>
        </is>
      </c>
      <c r="O139" s="19" t="inlineStr">
        <is>
          <t>particule</t>
        </is>
      </c>
      <c r="P139" s="18" t="inlineStr">
        <is>
          <t>Standard Quranic sense.</t>
        </is>
      </c>
      <c r="Q139" s="19" t="inlineStr">
        <is>
          <t>Surah Ref</t>
        </is>
      </c>
      <c r="R139" s="17" t="inlineStr">
        <is>
          <t>【حَرْف_Programmatic_107】</t>
        </is>
      </c>
      <c r="S139" s="19" t="inlineStr">
        <is>
          <t>Example containing [harf_p_107]</t>
        </is>
      </c>
      <c r="T139" s="19" t="inlineStr">
        <is>
          <t>উদাহরণস্বরূপ [সাধারণ অব্যয়]</t>
        </is>
      </c>
      <c r="U139" s="19" t="inlineStr">
        <is>
          <t>مثال برائے [عام حرف]</t>
        </is>
      </c>
      <c r="V139" s="19" t="inlineStr">
        <is>
          <t>Contoh mengandung [harf_p_107]</t>
        </is>
      </c>
      <c r="W139" s="19" t="inlineStr">
        <is>
          <t>Örnek [harf_p_107]</t>
        </is>
      </c>
      <c r="X139" s="19" t="inlineStr">
        <is>
          <t>Exemple contenant [harf_p_107]</t>
        </is>
      </c>
    </row>
    <row r="140" ht="25" customHeight="1">
      <c r="A140" s="9" t="n">
        <v>136</v>
      </c>
      <c r="B140" s="22" t="inlineStr">
        <is>
          <t>حَرْف_Programmatic_108</t>
        </is>
      </c>
      <c r="C140" s="23" t="inlineStr">
        <is>
          <t>harf_p_108</t>
        </is>
      </c>
      <c r="D140" s="12" t="inlineStr">
        <is>
          <t>—</t>
        </is>
      </c>
      <c r="E140" s="12" t="inlineStr">
        <is>
          <t>Particle</t>
        </is>
      </c>
      <c r="F140" s="24" t="n">
        <v>1</v>
      </c>
      <c r="G140" s="25">
        <f>F140/$F$178</f>
        <v/>
      </c>
      <c r="H140" s="25">
        <f>F140/77429</f>
        <v/>
      </c>
      <c r="I140" s="25">
        <f>I139+G140</f>
        <v/>
      </c>
      <c r="J140" s="12" t="inlineStr">
        <is>
          <t>Standard particle usage</t>
        </is>
      </c>
      <c r="K140" s="12" t="inlineStr">
        <is>
          <t>সাধারণ অব্যয়</t>
        </is>
      </c>
      <c r="L140" s="12" t="inlineStr">
        <is>
          <t>عام حرف</t>
        </is>
      </c>
      <c r="M140" s="12" t="inlineStr">
        <is>
          <t>partikel</t>
        </is>
      </c>
      <c r="N140" s="12" t="inlineStr">
        <is>
          <t>edat</t>
        </is>
      </c>
      <c r="O140" s="12" t="inlineStr">
        <is>
          <t>particule</t>
        </is>
      </c>
      <c r="P140" s="23" t="inlineStr">
        <is>
          <t>Standard Quranic sense.</t>
        </is>
      </c>
      <c r="Q140" s="12" t="inlineStr">
        <is>
          <t>Surah Ref</t>
        </is>
      </c>
      <c r="R140" s="22" t="inlineStr">
        <is>
          <t>【حَرْف_Programmatic_108】</t>
        </is>
      </c>
      <c r="S140" s="12" t="inlineStr">
        <is>
          <t>Example containing [harf_p_108]</t>
        </is>
      </c>
      <c r="T140" s="12" t="inlineStr">
        <is>
          <t>উদাহরণস্বরূপ [সাধারণ অব্যয়]</t>
        </is>
      </c>
      <c r="U140" s="12" t="inlineStr">
        <is>
          <t>مثال برائے [عام حرف]</t>
        </is>
      </c>
      <c r="V140" s="12" t="inlineStr">
        <is>
          <t>Contoh mengandung [harf_p_108]</t>
        </is>
      </c>
      <c r="W140" s="12" t="inlineStr">
        <is>
          <t>Örnek [harf_p_108]</t>
        </is>
      </c>
      <c r="X140" s="12" t="inlineStr">
        <is>
          <t>Exemple contenant [harf_p_108]</t>
        </is>
      </c>
    </row>
    <row r="141" ht="25" customHeight="1">
      <c r="A141" s="16" t="n">
        <v>137</v>
      </c>
      <c r="B141" s="17" t="inlineStr">
        <is>
          <t>حَرْف_Programmatic_109</t>
        </is>
      </c>
      <c r="C141" s="18" t="inlineStr">
        <is>
          <t>harf_p_109</t>
        </is>
      </c>
      <c r="D141" s="19" t="inlineStr">
        <is>
          <t>—</t>
        </is>
      </c>
      <c r="E141" s="19" t="inlineStr">
        <is>
          <t>Particle</t>
        </is>
      </c>
      <c r="F141" s="20" t="n">
        <v>1</v>
      </c>
      <c r="G141" s="21">
        <f>F141/$F$178</f>
        <v/>
      </c>
      <c r="H141" s="21">
        <f>F141/77429</f>
        <v/>
      </c>
      <c r="I141" s="21">
        <f>I140+G141</f>
        <v/>
      </c>
      <c r="J141" s="19" t="inlineStr">
        <is>
          <t>Standard particle usage</t>
        </is>
      </c>
      <c r="K141" s="19" t="inlineStr">
        <is>
          <t>সাধারণ অব্যয়</t>
        </is>
      </c>
      <c r="L141" s="19" t="inlineStr">
        <is>
          <t>عام حرف</t>
        </is>
      </c>
      <c r="M141" s="19" t="inlineStr">
        <is>
          <t>partikel</t>
        </is>
      </c>
      <c r="N141" s="19" t="inlineStr">
        <is>
          <t>edat</t>
        </is>
      </c>
      <c r="O141" s="19" t="inlineStr">
        <is>
          <t>particule</t>
        </is>
      </c>
      <c r="P141" s="18" t="inlineStr">
        <is>
          <t>Standard Quranic sense.</t>
        </is>
      </c>
      <c r="Q141" s="19" t="inlineStr">
        <is>
          <t>Surah Ref</t>
        </is>
      </c>
      <c r="R141" s="17" t="inlineStr">
        <is>
          <t>【حَرْف_Programmatic_109】</t>
        </is>
      </c>
      <c r="S141" s="19" t="inlineStr">
        <is>
          <t>Example containing [harf_p_109]</t>
        </is>
      </c>
      <c r="T141" s="19" t="inlineStr">
        <is>
          <t>উদাহরণস্বরূপ [সাধারণ অব্যয়]</t>
        </is>
      </c>
      <c r="U141" s="19" t="inlineStr">
        <is>
          <t>مثال برائے [عام حرف]</t>
        </is>
      </c>
      <c r="V141" s="19" t="inlineStr">
        <is>
          <t>Contoh mengandung [harf_p_109]</t>
        </is>
      </c>
      <c r="W141" s="19" t="inlineStr">
        <is>
          <t>Örnek [harf_p_109]</t>
        </is>
      </c>
      <c r="X141" s="19" t="inlineStr">
        <is>
          <t>Exemple contenant [harf_p_109]</t>
        </is>
      </c>
    </row>
    <row r="142" ht="25" customHeight="1">
      <c r="A142" s="9" t="n">
        <v>138</v>
      </c>
      <c r="B142" s="22" t="inlineStr">
        <is>
          <t>حَرْف_Programmatic_110</t>
        </is>
      </c>
      <c r="C142" s="23" t="inlineStr">
        <is>
          <t>harf_p_110</t>
        </is>
      </c>
      <c r="D142" s="12" t="inlineStr">
        <is>
          <t>—</t>
        </is>
      </c>
      <c r="E142" s="12" t="inlineStr">
        <is>
          <t>Particle</t>
        </is>
      </c>
      <c r="F142" s="24" t="n">
        <v>1</v>
      </c>
      <c r="G142" s="25">
        <f>F142/$F$178</f>
        <v/>
      </c>
      <c r="H142" s="25">
        <f>F142/77429</f>
        <v/>
      </c>
      <c r="I142" s="25">
        <f>I141+G142</f>
        <v/>
      </c>
      <c r="J142" s="12" t="inlineStr">
        <is>
          <t>Standard particle usage</t>
        </is>
      </c>
      <c r="K142" s="12" t="inlineStr">
        <is>
          <t>সাধারণ অব্যয়</t>
        </is>
      </c>
      <c r="L142" s="12" t="inlineStr">
        <is>
          <t>عام حرف</t>
        </is>
      </c>
      <c r="M142" s="12" t="inlineStr">
        <is>
          <t>partikel</t>
        </is>
      </c>
      <c r="N142" s="12" t="inlineStr">
        <is>
          <t>edat</t>
        </is>
      </c>
      <c r="O142" s="12" t="inlineStr">
        <is>
          <t>particule</t>
        </is>
      </c>
      <c r="P142" s="23" t="inlineStr">
        <is>
          <t>Standard Quranic sense.</t>
        </is>
      </c>
      <c r="Q142" s="12" t="inlineStr">
        <is>
          <t>Surah Ref</t>
        </is>
      </c>
      <c r="R142" s="22" t="inlineStr">
        <is>
          <t>【حَرْف_Programmatic_110】</t>
        </is>
      </c>
      <c r="S142" s="12" t="inlineStr">
        <is>
          <t>Example containing [harf_p_110]</t>
        </is>
      </c>
      <c r="T142" s="12" t="inlineStr">
        <is>
          <t>উদাহরণস্বরূপ [সাধারণ অব্যয়]</t>
        </is>
      </c>
      <c r="U142" s="12" t="inlineStr">
        <is>
          <t>مثال برائے [عام حرف]</t>
        </is>
      </c>
      <c r="V142" s="12" t="inlineStr">
        <is>
          <t>Contoh mengandung [harf_p_110]</t>
        </is>
      </c>
      <c r="W142" s="12" t="inlineStr">
        <is>
          <t>Örnek [harf_p_110]</t>
        </is>
      </c>
      <c r="X142" s="12" t="inlineStr">
        <is>
          <t>Exemple contenant [harf_p_110]</t>
        </is>
      </c>
    </row>
    <row r="143" ht="25" customHeight="1">
      <c r="A143" s="16" t="n">
        <v>139</v>
      </c>
      <c r="B143" s="17" t="inlineStr">
        <is>
          <t>حَرْف_Programmatic_111</t>
        </is>
      </c>
      <c r="C143" s="18" t="inlineStr">
        <is>
          <t>harf_p_111</t>
        </is>
      </c>
      <c r="D143" s="19" t="inlineStr">
        <is>
          <t>—</t>
        </is>
      </c>
      <c r="E143" s="19" t="inlineStr">
        <is>
          <t>Particle</t>
        </is>
      </c>
      <c r="F143" s="20" t="n">
        <v>1</v>
      </c>
      <c r="G143" s="21">
        <f>F143/$F$178</f>
        <v/>
      </c>
      <c r="H143" s="21">
        <f>F143/77429</f>
        <v/>
      </c>
      <c r="I143" s="21">
        <f>I142+G143</f>
        <v/>
      </c>
      <c r="J143" s="19" t="inlineStr">
        <is>
          <t>Standard particle usage</t>
        </is>
      </c>
      <c r="K143" s="19" t="inlineStr">
        <is>
          <t>সাধারণ অব্যয়</t>
        </is>
      </c>
      <c r="L143" s="19" t="inlineStr">
        <is>
          <t>عام حرف</t>
        </is>
      </c>
      <c r="M143" s="19" t="inlineStr">
        <is>
          <t>partikel</t>
        </is>
      </c>
      <c r="N143" s="19" t="inlineStr">
        <is>
          <t>edat</t>
        </is>
      </c>
      <c r="O143" s="19" t="inlineStr">
        <is>
          <t>particule</t>
        </is>
      </c>
      <c r="P143" s="18" t="inlineStr">
        <is>
          <t>Standard Quranic sense.</t>
        </is>
      </c>
      <c r="Q143" s="19" t="inlineStr">
        <is>
          <t>Surah Ref</t>
        </is>
      </c>
      <c r="R143" s="17" t="inlineStr">
        <is>
          <t>【حَرْف_Programmatic_111】</t>
        </is>
      </c>
      <c r="S143" s="19" t="inlineStr">
        <is>
          <t>Example containing [harf_p_111]</t>
        </is>
      </c>
      <c r="T143" s="19" t="inlineStr">
        <is>
          <t>উদাহরণস্বরূপ [সাধারণ অব্যয়]</t>
        </is>
      </c>
      <c r="U143" s="19" t="inlineStr">
        <is>
          <t>مثال برائے [عام حرف]</t>
        </is>
      </c>
      <c r="V143" s="19" t="inlineStr">
        <is>
          <t>Contoh mengandung [harf_p_111]</t>
        </is>
      </c>
      <c r="W143" s="19" t="inlineStr">
        <is>
          <t>Örnek [harf_p_111]</t>
        </is>
      </c>
      <c r="X143" s="19" t="inlineStr">
        <is>
          <t>Exemple contenant [harf_p_111]</t>
        </is>
      </c>
    </row>
    <row r="144" ht="25" customHeight="1">
      <c r="A144" s="9" t="n">
        <v>140</v>
      </c>
      <c r="B144" s="22" t="inlineStr">
        <is>
          <t>حَرْف_Programmatic_112</t>
        </is>
      </c>
      <c r="C144" s="23" t="inlineStr">
        <is>
          <t>harf_p_112</t>
        </is>
      </c>
      <c r="D144" s="12" t="inlineStr">
        <is>
          <t>—</t>
        </is>
      </c>
      <c r="E144" s="12" t="inlineStr">
        <is>
          <t>Particle</t>
        </is>
      </c>
      <c r="F144" s="24" t="n">
        <v>1</v>
      </c>
      <c r="G144" s="25">
        <f>F144/$F$178</f>
        <v/>
      </c>
      <c r="H144" s="25">
        <f>F144/77429</f>
        <v/>
      </c>
      <c r="I144" s="25">
        <f>I143+G144</f>
        <v/>
      </c>
      <c r="J144" s="12" t="inlineStr">
        <is>
          <t>Standard particle usage</t>
        </is>
      </c>
      <c r="K144" s="12" t="inlineStr">
        <is>
          <t>সাধারণ অব্যয়</t>
        </is>
      </c>
      <c r="L144" s="12" t="inlineStr">
        <is>
          <t>عام حرف</t>
        </is>
      </c>
      <c r="M144" s="12" t="inlineStr">
        <is>
          <t>partikel</t>
        </is>
      </c>
      <c r="N144" s="12" t="inlineStr">
        <is>
          <t>edat</t>
        </is>
      </c>
      <c r="O144" s="12" t="inlineStr">
        <is>
          <t>particule</t>
        </is>
      </c>
      <c r="P144" s="23" t="inlineStr">
        <is>
          <t>Standard Quranic sense.</t>
        </is>
      </c>
      <c r="Q144" s="12" t="inlineStr">
        <is>
          <t>Surah Ref</t>
        </is>
      </c>
      <c r="R144" s="22" t="inlineStr">
        <is>
          <t>【حَرْف_Programmatic_112】</t>
        </is>
      </c>
      <c r="S144" s="12" t="inlineStr">
        <is>
          <t>Example containing [harf_p_112]</t>
        </is>
      </c>
      <c r="T144" s="12" t="inlineStr">
        <is>
          <t>উদাহরণস্বরূপ [সাধারণ অব্যয়]</t>
        </is>
      </c>
      <c r="U144" s="12" t="inlineStr">
        <is>
          <t>مثال برائے [عام حرف]</t>
        </is>
      </c>
      <c r="V144" s="12" t="inlineStr">
        <is>
          <t>Contoh mengandung [harf_p_112]</t>
        </is>
      </c>
      <c r="W144" s="12" t="inlineStr">
        <is>
          <t>Örnek [harf_p_112]</t>
        </is>
      </c>
      <c r="X144" s="12" t="inlineStr">
        <is>
          <t>Exemple contenant [harf_p_112]</t>
        </is>
      </c>
    </row>
    <row r="145" ht="25" customHeight="1">
      <c r="A145" s="16" t="n">
        <v>141</v>
      </c>
      <c r="B145" s="17" t="inlineStr">
        <is>
          <t>حَرْف_Programmatic_113</t>
        </is>
      </c>
      <c r="C145" s="18" t="inlineStr">
        <is>
          <t>harf_p_113</t>
        </is>
      </c>
      <c r="D145" s="19" t="inlineStr">
        <is>
          <t>—</t>
        </is>
      </c>
      <c r="E145" s="19" t="inlineStr">
        <is>
          <t>Particle</t>
        </is>
      </c>
      <c r="F145" s="20" t="n">
        <v>1</v>
      </c>
      <c r="G145" s="21">
        <f>F145/$F$178</f>
        <v/>
      </c>
      <c r="H145" s="21">
        <f>F145/77429</f>
        <v/>
      </c>
      <c r="I145" s="21">
        <f>I144+G145</f>
        <v/>
      </c>
      <c r="J145" s="19" t="inlineStr">
        <is>
          <t>Standard particle usage</t>
        </is>
      </c>
      <c r="K145" s="19" t="inlineStr">
        <is>
          <t>সাধারণ অব্যয়</t>
        </is>
      </c>
      <c r="L145" s="19" t="inlineStr">
        <is>
          <t>عام حرف</t>
        </is>
      </c>
      <c r="M145" s="19" t="inlineStr">
        <is>
          <t>partikel</t>
        </is>
      </c>
      <c r="N145" s="19" t="inlineStr">
        <is>
          <t>edat</t>
        </is>
      </c>
      <c r="O145" s="19" t="inlineStr">
        <is>
          <t>particule</t>
        </is>
      </c>
      <c r="P145" s="18" t="inlineStr">
        <is>
          <t>Standard Quranic sense.</t>
        </is>
      </c>
      <c r="Q145" s="19" t="inlineStr">
        <is>
          <t>Surah Ref</t>
        </is>
      </c>
      <c r="R145" s="17" t="inlineStr">
        <is>
          <t>【حَرْف_Programmatic_113】</t>
        </is>
      </c>
      <c r="S145" s="19" t="inlineStr">
        <is>
          <t>Example containing [harf_p_113]</t>
        </is>
      </c>
      <c r="T145" s="19" t="inlineStr">
        <is>
          <t>উদাহরণস্বরূপ [সাধারণ অব্যয়]</t>
        </is>
      </c>
      <c r="U145" s="19" t="inlineStr">
        <is>
          <t>مثال برائے [عام حرف]</t>
        </is>
      </c>
      <c r="V145" s="19" t="inlineStr">
        <is>
          <t>Contoh mengandung [harf_p_113]</t>
        </is>
      </c>
      <c r="W145" s="19" t="inlineStr">
        <is>
          <t>Örnek [harf_p_113]</t>
        </is>
      </c>
      <c r="X145" s="19" t="inlineStr">
        <is>
          <t>Exemple contenant [harf_p_113]</t>
        </is>
      </c>
    </row>
    <row r="146" ht="25" customHeight="1">
      <c r="A146" s="9" t="n">
        <v>142</v>
      </c>
      <c r="B146" s="22" t="inlineStr">
        <is>
          <t>حَرْف_Programmatic_114</t>
        </is>
      </c>
      <c r="C146" s="23" t="inlineStr">
        <is>
          <t>harf_p_114</t>
        </is>
      </c>
      <c r="D146" s="12" t="inlineStr">
        <is>
          <t>—</t>
        </is>
      </c>
      <c r="E146" s="12" t="inlineStr">
        <is>
          <t>Particle</t>
        </is>
      </c>
      <c r="F146" s="24" t="n">
        <v>1</v>
      </c>
      <c r="G146" s="25">
        <f>F146/$F$178</f>
        <v/>
      </c>
      <c r="H146" s="25">
        <f>F146/77429</f>
        <v/>
      </c>
      <c r="I146" s="25">
        <f>I145+G146</f>
        <v/>
      </c>
      <c r="J146" s="12" t="inlineStr">
        <is>
          <t>Standard particle usage</t>
        </is>
      </c>
      <c r="K146" s="12" t="inlineStr">
        <is>
          <t>সাধারণ অব্যয়</t>
        </is>
      </c>
      <c r="L146" s="12" t="inlineStr">
        <is>
          <t>عام حرف</t>
        </is>
      </c>
      <c r="M146" s="12" t="inlineStr">
        <is>
          <t>partikel</t>
        </is>
      </c>
      <c r="N146" s="12" t="inlineStr">
        <is>
          <t>edat</t>
        </is>
      </c>
      <c r="O146" s="12" t="inlineStr">
        <is>
          <t>particule</t>
        </is>
      </c>
      <c r="P146" s="23" t="inlineStr">
        <is>
          <t>Standard Quranic sense.</t>
        </is>
      </c>
      <c r="Q146" s="12" t="inlineStr">
        <is>
          <t>Surah Ref</t>
        </is>
      </c>
      <c r="R146" s="22" t="inlineStr">
        <is>
          <t>【حَرْف_Programmatic_114】</t>
        </is>
      </c>
      <c r="S146" s="12" t="inlineStr">
        <is>
          <t>Example containing [harf_p_114]</t>
        </is>
      </c>
      <c r="T146" s="12" t="inlineStr">
        <is>
          <t>উদাহরণস্বরূপ [সাধারণ অব্যয়]</t>
        </is>
      </c>
      <c r="U146" s="12" t="inlineStr">
        <is>
          <t>مثال برائے [عام حرف]</t>
        </is>
      </c>
      <c r="V146" s="12" t="inlineStr">
        <is>
          <t>Contoh mengandung [harf_p_114]</t>
        </is>
      </c>
      <c r="W146" s="12" t="inlineStr">
        <is>
          <t>Örnek [harf_p_114]</t>
        </is>
      </c>
      <c r="X146" s="12" t="inlineStr">
        <is>
          <t>Exemple contenant [harf_p_114]</t>
        </is>
      </c>
    </row>
    <row r="147" ht="25" customHeight="1">
      <c r="A147" s="16" t="n">
        <v>143</v>
      </c>
      <c r="B147" s="17" t="inlineStr">
        <is>
          <t>حَرْف_Programmatic_115</t>
        </is>
      </c>
      <c r="C147" s="18" t="inlineStr">
        <is>
          <t>harf_p_115</t>
        </is>
      </c>
      <c r="D147" s="19" t="inlineStr">
        <is>
          <t>—</t>
        </is>
      </c>
      <c r="E147" s="19" t="inlineStr">
        <is>
          <t>Particle</t>
        </is>
      </c>
      <c r="F147" s="20" t="n">
        <v>1</v>
      </c>
      <c r="G147" s="21">
        <f>F147/$F$178</f>
        <v/>
      </c>
      <c r="H147" s="21">
        <f>F147/77429</f>
        <v/>
      </c>
      <c r="I147" s="21">
        <f>I146+G147</f>
        <v/>
      </c>
      <c r="J147" s="19" t="inlineStr">
        <is>
          <t>Standard particle usage</t>
        </is>
      </c>
      <c r="K147" s="19" t="inlineStr">
        <is>
          <t>সাধারণ অব্যয়</t>
        </is>
      </c>
      <c r="L147" s="19" t="inlineStr">
        <is>
          <t>عام حرف</t>
        </is>
      </c>
      <c r="M147" s="19" t="inlineStr">
        <is>
          <t>partikel</t>
        </is>
      </c>
      <c r="N147" s="19" t="inlineStr">
        <is>
          <t>edat</t>
        </is>
      </c>
      <c r="O147" s="19" t="inlineStr">
        <is>
          <t>particule</t>
        </is>
      </c>
      <c r="P147" s="18" t="inlineStr">
        <is>
          <t>Standard Quranic sense.</t>
        </is>
      </c>
      <c r="Q147" s="19" t="inlineStr">
        <is>
          <t>Surah Ref</t>
        </is>
      </c>
      <c r="R147" s="17" t="inlineStr">
        <is>
          <t>【حَرْف_Programmatic_115】</t>
        </is>
      </c>
      <c r="S147" s="19" t="inlineStr">
        <is>
          <t>Example containing [harf_p_115]</t>
        </is>
      </c>
      <c r="T147" s="19" t="inlineStr">
        <is>
          <t>উদাহরণস্বরূপ [সাধারণ অব্যয়]</t>
        </is>
      </c>
      <c r="U147" s="19" t="inlineStr">
        <is>
          <t>مثال برائے [عام حرف]</t>
        </is>
      </c>
      <c r="V147" s="19" t="inlineStr">
        <is>
          <t>Contoh mengandung [harf_p_115]</t>
        </is>
      </c>
      <c r="W147" s="19" t="inlineStr">
        <is>
          <t>Örnek [harf_p_115]</t>
        </is>
      </c>
      <c r="X147" s="19" t="inlineStr">
        <is>
          <t>Exemple contenant [harf_p_115]</t>
        </is>
      </c>
    </row>
    <row r="148" ht="25" customHeight="1">
      <c r="A148" s="9" t="n">
        <v>144</v>
      </c>
      <c r="B148" s="22" t="inlineStr">
        <is>
          <t>حَرْف_Programmatic_116</t>
        </is>
      </c>
      <c r="C148" s="23" t="inlineStr">
        <is>
          <t>harf_p_116</t>
        </is>
      </c>
      <c r="D148" s="12" t="inlineStr">
        <is>
          <t>—</t>
        </is>
      </c>
      <c r="E148" s="12" t="inlineStr">
        <is>
          <t>Particle</t>
        </is>
      </c>
      <c r="F148" s="24" t="n">
        <v>1</v>
      </c>
      <c r="G148" s="25">
        <f>F148/$F$178</f>
        <v/>
      </c>
      <c r="H148" s="25">
        <f>F148/77429</f>
        <v/>
      </c>
      <c r="I148" s="25">
        <f>I147+G148</f>
        <v/>
      </c>
      <c r="J148" s="12" t="inlineStr">
        <is>
          <t>Standard particle usage</t>
        </is>
      </c>
      <c r="K148" s="12" t="inlineStr">
        <is>
          <t>সাধারণ অব্যয়</t>
        </is>
      </c>
      <c r="L148" s="12" t="inlineStr">
        <is>
          <t>عام حرف</t>
        </is>
      </c>
      <c r="M148" s="12" t="inlineStr">
        <is>
          <t>partikel</t>
        </is>
      </c>
      <c r="N148" s="12" t="inlineStr">
        <is>
          <t>edat</t>
        </is>
      </c>
      <c r="O148" s="12" t="inlineStr">
        <is>
          <t>particule</t>
        </is>
      </c>
      <c r="P148" s="23" t="inlineStr">
        <is>
          <t>Standard Quranic sense.</t>
        </is>
      </c>
      <c r="Q148" s="12" t="inlineStr">
        <is>
          <t>Surah Ref</t>
        </is>
      </c>
      <c r="R148" s="22" t="inlineStr">
        <is>
          <t>【حَرْف_Programmatic_116】</t>
        </is>
      </c>
      <c r="S148" s="12" t="inlineStr">
        <is>
          <t>Example containing [harf_p_116]</t>
        </is>
      </c>
      <c r="T148" s="12" t="inlineStr">
        <is>
          <t>উদাহরণস্বরূপ [সাধারণ অব্যয়]</t>
        </is>
      </c>
      <c r="U148" s="12" t="inlineStr">
        <is>
          <t>مثال برائے [عام حرف]</t>
        </is>
      </c>
      <c r="V148" s="12" t="inlineStr">
        <is>
          <t>Contoh mengandung [harf_p_116]</t>
        </is>
      </c>
      <c r="W148" s="12" t="inlineStr">
        <is>
          <t>Örnek [harf_p_116]</t>
        </is>
      </c>
      <c r="X148" s="12" t="inlineStr">
        <is>
          <t>Exemple contenant [harf_p_116]</t>
        </is>
      </c>
    </row>
    <row r="149" ht="25" customHeight="1">
      <c r="A149" s="16" t="n">
        <v>145</v>
      </c>
      <c r="B149" s="17" t="inlineStr">
        <is>
          <t>حَرْف_Programmatic_117</t>
        </is>
      </c>
      <c r="C149" s="18" t="inlineStr">
        <is>
          <t>harf_p_117</t>
        </is>
      </c>
      <c r="D149" s="19" t="inlineStr">
        <is>
          <t>—</t>
        </is>
      </c>
      <c r="E149" s="19" t="inlineStr">
        <is>
          <t>Particle</t>
        </is>
      </c>
      <c r="F149" s="20" t="n">
        <v>1</v>
      </c>
      <c r="G149" s="21">
        <f>F149/$F$178</f>
        <v/>
      </c>
      <c r="H149" s="21">
        <f>F149/77429</f>
        <v/>
      </c>
      <c r="I149" s="21">
        <f>I148+G149</f>
        <v/>
      </c>
      <c r="J149" s="19" t="inlineStr">
        <is>
          <t>Standard particle usage</t>
        </is>
      </c>
      <c r="K149" s="19" t="inlineStr">
        <is>
          <t>সাধারণ অব্যয়</t>
        </is>
      </c>
      <c r="L149" s="19" t="inlineStr">
        <is>
          <t>عام حرف</t>
        </is>
      </c>
      <c r="M149" s="19" t="inlineStr">
        <is>
          <t>partikel</t>
        </is>
      </c>
      <c r="N149" s="19" t="inlineStr">
        <is>
          <t>edat</t>
        </is>
      </c>
      <c r="O149" s="19" t="inlineStr">
        <is>
          <t>particule</t>
        </is>
      </c>
      <c r="P149" s="18" t="inlineStr">
        <is>
          <t>Standard Quranic sense.</t>
        </is>
      </c>
      <c r="Q149" s="19" t="inlineStr">
        <is>
          <t>Surah Ref</t>
        </is>
      </c>
      <c r="R149" s="17" t="inlineStr">
        <is>
          <t>【حَرْف_Programmatic_117】</t>
        </is>
      </c>
      <c r="S149" s="19" t="inlineStr">
        <is>
          <t>Example containing [harf_p_117]</t>
        </is>
      </c>
      <c r="T149" s="19" t="inlineStr">
        <is>
          <t>উদাহরণস্বরূপ [সাধারণ অব্যয়]</t>
        </is>
      </c>
      <c r="U149" s="19" t="inlineStr">
        <is>
          <t>مثال برائے [عام حرف]</t>
        </is>
      </c>
      <c r="V149" s="19" t="inlineStr">
        <is>
          <t>Contoh mengandung [harf_p_117]</t>
        </is>
      </c>
      <c r="W149" s="19" t="inlineStr">
        <is>
          <t>Örnek [harf_p_117]</t>
        </is>
      </c>
      <c r="X149" s="19" t="inlineStr">
        <is>
          <t>Exemple contenant [harf_p_117]</t>
        </is>
      </c>
    </row>
    <row r="150" ht="25" customHeight="1">
      <c r="A150" s="9" t="n">
        <v>146</v>
      </c>
      <c r="B150" s="22" t="inlineStr">
        <is>
          <t>حَرْف_Programmatic_118</t>
        </is>
      </c>
      <c r="C150" s="23" t="inlineStr">
        <is>
          <t>harf_p_118</t>
        </is>
      </c>
      <c r="D150" s="12" t="inlineStr">
        <is>
          <t>—</t>
        </is>
      </c>
      <c r="E150" s="12" t="inlineStr">
        <is>
          <t>Particle</t>
        </is>
      </c>
      <c r="F150" s="24" t="n">
        <v>1</v>
      </c>
      <c r="G150" s="25">
        <f>F150/$F$178</f>
        <v/>
      </c>
      <c r="H150" s="25">
        <f>F150/77429</f>
        <v/>
      </c>
      <c r="I150" s="25">
        <f>I149+G150</f>
        <v/>
      </c>
      <c r="J150" s="12" t="inlineStr">
        <is>
          <t>Standard particle usage</t>
        </is>
      </c>
      <c r="K150" s="12" t="inlineStr">
        <is>
          <t>সাধারণ অব্যয়</t>
        </is>
      </c>
      <c r="L150" s="12" t="inlineStr">
        <is>
          <t>عام حرف</t>
        </is>
      </c>
      <c r="M150" s="12" t="inlineStr">
        <is>
          <t>partikel</t>
        </is>
      </c>
      <c r="N150" s="12" t="inlineStr">
        <is>
          <t>edat</t>
        </is>
      </c>
      <c r="O150" s="12" t="inlineStr">
        <is>
          <t>particule</t>
        </is>
      </c>
      <c r="P150" s="23" t="inlineStr">
        <is>
          <t>Standard Quranic sense.</t>
        </is>
      </c>
      <c r="Q150" s="12" t="inlineStr">
        <is>
          <t>Surah Ref</t>
        </is>
      </c>
      <c r="R150" s="22" t="inlineStr">
        <is>
          <t>【حَرْف_Programmatic_118】</t>
        </is>
      </c>
      <c r="S150" s="12" t="inlineStr">
        <is>
          <t>Example containing [harf_p_118]</t>
        </is>
      </c>
      <c r="T150" s="12" t="inlineStr">
        <is>
          <t>উদাহরণস্বরূপ [সাধারণ অব্যয়]</t>
        </is>
      </c>
      <c r="U150" s="12" t="inlineStr">
        <is>
          <t>مثال برائے [عام حرف]</t>
        </is>
      </c>
      <c r="V150" s="12" t="inlineStr">
        <is>
          <t>Contoh mengandung [harf_p_118]</t>
        </is>
      </c>
      <c r="W150" s="12" t="inlineStr">
        <is>
          <t>Örnek [harf_p_118]</t>
        </is>
      </c>
      <c r="X150" s="12" t="inlineStr">
        <is>
          <t>Exemple contenant [harf_p_118]</t>
        </is>
      </c>
    </row>
    <row r="151" ht="25" customHeight="1">
      <c r="A151" s="16" t="n">
        <v>147</v>
      </c>
      <c r="B151" s="17" t="inlineStr">
        <is>
          <t>حَرْف_Programmatic_119</t>
        </is>
      </c>
      <c r="C151" s="18" t="inlineStr">
        <is>
          <t>harf_p_119</t>
        </is>
      </c>
      <c r="D151" s="19" t="inlineStr">
        <is>
          <t>—</t>
        </is>
      </c>
      <c r="E151" s="19" t="inlineStr">
        <is>
          <t>Particle</t>
        </is>
      </c>
      <c r="F151" s="20" t="n">
        <v>1</v>
      </c>
      <c r="G151" s="21">
        <f>F151/$F$178</f>
        <v/>
      </c>
      <c r="H151" s="21">
        <f>F151/77429</f>
        <v/>
      </c>
      <c r="I151" s="21">
        <f>I150+G151</f>
        <v/>
      </c>
      <c r="J151" s="19" t="inlineStr">
        <is>
          <t>Standard particle usage</t>
        </is>
      </c>
      <c r="K151" s="19" t="inlineStr">
        <is>
          <t>সাধারণ অব্যয়</t>
        </is>
      </c>
      <c r="L151" s="19" t="inlineStr">
        <is>
          <t>عام حرف</t>
        </is>
      </c>
      <c r="M151" s="19" t="inlineStr">
        <is>
          <t>partikel</t>
        </is>
      </c>
      <c r="N151" s="19" t="inlineStr">
        <is>
          <t>edat</t>
        </is>
      </c>
      <c r="O151" s="19" t="inlineStr">
        <is>
          <t>particule</t>
        </is>
      </c>
      <c r="P151" s="18" t="inlineStr">
        <is>
          <t>Standard Quranic sense.</t>
        </is>
      </c>
      <c r="Q151" s="19" t="inlineStr">
        <is>
          <t>Surah Ref</t>
        </is>
      </c>
      <c r="R151" s="17" t="inlineStr">
        <is>
          <t>【حَرْف_Programmatic_119】</t>
        </is>
      </c>
      <c r="S151" s="19" t="inlineStr">
        <is>
          <t>Example containing [harf_p_119]</t>
        </is>
      </c>
      <c r="T151" s="19" t="inlineStr">
        <is>
          <t>উদাহরণস্বরূপ [সাধারণ অব্যয়]</t>
        </is>
      </c>
      <c r="U151" s="19" t="inlineStr">
        <is>
          <t>مثال برائے [عام حرف]</t>
        </is>
      </c>
      <c r="V151" s="19" t="inlineStr">
        <is>
          <t>Contoh mengandung [harf_p_119]</t>
        </is>
      </c>
      <c r="W151" s="19" t="inlineStr">
        <is>
          <t>Örnek [harf_p_119]</t>
        </is>
      </c>
      <c r="X151" s="19" t="inlineStr">
        <is>
          <t>Exemple contenant [harf_p_119]</t>
        </is>
      </c>
    </row>
    <row r="152" ht="25" customHeight="1">
      <c r="A152" s="9" t="n">
        <v>148</v>
      </c>
      <c r="B152" s="22" t="inlineStr">
        <is>
          <t>حَرْف_Programmatic_120</t>
        </is>
      </c>
      <c r="C152" s="23" t="inlineStr">
        <is>
          <t>harf_p_120</t>
        </is>
      </c>
      <c r="D152" s="12" t="inlineStr">
        <is>
          <t>—</t>
        </is>
      </c>
      <c r="E152" s="12" t="inlineStr">
        <is>
          <t>Particle</t>
        </is>
      </c>
      <c r="F152" s="24" t="n">
        <v>1</v>
      </c>
      <c r="G152" s="25">
        <f>F152/$F$178</f>
        <v/>
      </c>
      <c r="H152" s="25">
        <f>F152/77429</f>
        <v/>
      </c>
      <c r="I152" s="25">
        <f>I151+G152</f>
        <v/>
      </c>
      <c r="J152" s="12" t="inlineStr">
        <is>
          <t>Standard particle usage</t>
        </is>
      </c>
      <c r="K152" s="12" t="inlineStr">
        <is>
          <t>সাধারণ অব্যয়</t>
        </is>
      </c>
      <c r="L152" s="12" t="inlineStr">
        <is>
          <t>عام حرف</t>
        </is>
      </c>
      <c r="M152" s="12" t="inlineStr">
        <is>
          <t>partikel</t>
        </is>
      </c>
      <c r="N152" s="12" t="inlineStr">
        <is>
          <t>edat</t>
        </is>
      </c>
      <c r="O152" s="12" t="inlineStr">
        <is>
          <t>particule</t>
        </is>
      </c>
      <c r="P152" s="23" t="inlineStr">
        <is>
          <t>Standard Quranic sense.</t>
        </is>
      </c>
      <c r="Q152" s="12" t="inlineStr">
        <is>
          <t>Surah Ref</t>
        </is>
      </c>
      <c r="R152" s="22" t="inlineStr">
        <is>
          <t>【حَرْف_Programmatic_120】</t>
        </is>
      </c>
      <c r="S152" s="12" t="inlineStr">
        <is>
          <t>Example containing [harf_p_120]</t>
        </is>
      </c>
      <c r="T152" s="12" t="inlineStr">
        <is>
          <t>উদাহরণস্বরূপ [সাধারণ অব্যয়]</t>
        </is>
      </c>
      <c r="U152" s="12" t="inlineStr">
        <is>
          <t>مثال برائے [عام حرف]</t>
        </is>
      </c>
      <c r="V152" s="12" t="inlineStr">
        <is>
          <t>Contoh mengandung [harf_p_120]</t>
        </is>
      </c>
      <c r="W152" s="12" t="inlineStr">
        <is>
          <t>Örnek [harf_p_120]</t>
        </is>
      </c>
      <c r="X152" s="12" t="inlineStr">
        <is>
          <t>Exemple contenant [harf_p_120]</t>
        </is>
      </c>
    </row>
    <row r="153" ht="25" customHeight="1">
      <c r="A153" s="16" t="n">
        <v>149</v>
      </c>
      <c r="B153" s="17" t="inlineStr">
        <is>
          <t>حَرْف_Programmatic_121</t>
        </is>
      </c>
      <c r="C153" s="18" t="inlineStr">
        <is>
          <t>harf_p_121</t>
        </is>
      </c>
      <c r="D153" s="19" t="inlineStr">
        <is>
          <t>—</t>
        </is>
      </c>
      <c r="E153" s="19" t="inlineStr">
        <is>
          <t>Particle</t>
        </is>
      </c>
      <c r="F153" s="20" t="n">
        <v>1</v>
      </c>
      <c r="G153" s="21">
        <f>F153/$F$178</f>
        <v/>
      </c>
      <c r="H153" s="21">
        <f>F153/77429</f>
        <v/>
      </c>
      <c r="I153" s="21">
        <f>I152+G153</f>
        <v/>
      </c>
      <c r="J153" s="19" t="inlineStr">
        <is>
          <t>Standard particle usage</t>
        </is>
      </c>
      <c r="K153" s="19" t="inlineStr">
        <is>
          <t>সাধারণ অব্যয়</t>
        </is>
      </c>
      <c r="L153" s="19" t="inlineStr">
        <is>
          <t>عام حرف</t>
        </is>
      </c>
      <c r="M153" s="19" t="inlineStr">
        <is>
          <t>partikel</t>
        </is>
      </c>
      <c r="N153" s="19" t="inlineStr">
        <is>
          <t>edat</t>
        </is>
      </c>
      <c r="O153" s="19" t="inlineStr">
        <is>
          <t>particule</t>
        </is>
      </c>
      <c r="P153" s="18" t="inlineStr">
        <is>
          <t>Standard Quranic sense.</t>
        </is>
      </c>
      <c r="Q153" s="19" t="inlineStr">
        <is>
          <t>Surah Ref</t>
        </is>
      </c>
      <c r="R153" s="17" t="inlineStr">
        <is>
          <t>【حَرْف_Programmatic_121】</t>
        </is>
      </c>
      <c r="S153" s="19" t="inlineStr">
        <is>
          <t>Example containing [harf_p_121]</t>
        </is>
      </c>
      <c r="T153" s="19" t="inlineStr">
        <is>
          <t>উদাহরণস্বরূপ [সাধারণ অব্যয়]</t>
        </is>
      </c>
      <c r="U153" s="19" t="inlineStr">
        <is>
          <t>مثال برائے [عام حرف]</t>
        </is>
      </c>
      <c r="V153" s="19" t="inlineStr">
        <is>
          <t>Contoh mengandung [harf_p_121]</t>
        </is>
      </c>
      <c r="W153" s="19" t="inlineStr">
        <is>
          <t>Örnek [harf_p_121]</t>
        </is>
      </c>
      <c r="X153" s="19" t="inlineStr">
        <is>
          <t>Exemple contenant [harf_p_121]</t>
        </is>
      </c>
    </row>
    <row r="154" ht="25" customHeight="1">
      <c r="A154" s="9" t="n">
        <v>150</v>
      </c>
      <c r="B154" s="22" t="inlineStr">
        <is>
          <t>حَرْف_Programmatic_122</t>
        </is>
      </c>
      <c r="C154" s="23" t="inlineStr">
        <is>
          <t>harf_p_122</t>
        </is>
      </c>
      <c r="D154" s="12" t="inlineStr">
        <is>
          <t>—</t>
        </is>
      </c>
      <c r="E154" s="12" t="inlineStr">
        <is>
          <t>Particle</t>
        </is>
      </c>
      <c r="F154" s="24" t="n">
        <v>1</v>
      </c>
      <c r="G154" s="25">
        <f>F154/$F$178</f>
        <v/>
      </c>
      <c r="H154" s="25">
        <f>F154/77429</f>
        <v/>
      </c>
      <c r="I154" s="25">
        <f>I153+G154</f>
        <v/>
      </c>
      <c r="J154" s="12" t="inlineStr">
        <is>
          <t>Standard particle usage</t>
        </is>
      </c>
      <c r="K154" s="12" t="inlineStr">
        <is>
          <t>সাধারণ অব্যয়</t>
        </is>
      </c>
      <c r="L154" s="12" t="inlineStr">
        <is>
          <t>عام حرف</t>
        </is>
      </c>
      <c r="M154" s="12" t="inlineStr">
        <is>
          <t>partikel</t>
        </is>
      </c>
      <c r="N154" s="12" t="inlineStr">
        <is>
          <t>edat</t>
        </is>
      </c>
      <c r="O154" s="12" t="inlineStr">
        <is>
          <t>particule</t>
        </is>
      </c>
      <c r="P154" s="23" t="inlineStr">
        <is>
          <t>Standard Quranic sense.</t>
        </is>
      </c>
      <c r="Q154" s="12" t="inlineStr">
        <is>
          <t>Surah Ref</t>
        </is>
      </c>
      <c r="R154" s="22" t="inlineStr">
        <is>
          <t>【حَرْف_Programmatic_122】</t>
        </is>
      </c>
      <c r="S154" s="12" t="inlineStr">
        <is>
          <t>Example containing [harf_p_122]</t>
        </is>
      </c>
      <c r="T154" s="12" t="inlineStr">
        <is>
          <t>উদাহরণস্বরূপ [সাধারণ অব্যয়]</t>
        </is>
      </c>
      <c r="U154" s="12" t="inlineStr">
        <is>
          <t>مثال برائے [عام حرف]</t>
        </is>
      </c>
      <c r="V154" s="12" t="inlineStr">
        <is>
          <t>Contoh mengandung [harf_p_122]</t>
        </is>
      </c>
      <c r="W154" s="12" t="inlineStr">
        <is>
          <t>Örnek [harf_p_122]</t>
        </is>
      </c>
      <c r="X154" s="12" t="inlineStr">
        <is>
          <t>Exemple contenant [harf_p_122]</t>
        </is>
      </c>
    </row>
    <row r="155" ht="25" customHeight="1">
      <c r="A155" s="16" t="n">
        <v>151</v>
      </c>
      <c r="B155" s="17" t="inlineStr">
        <is>
          <t>حَرْف_Programmatic_123</t>
        </is>
      </c>
      <c r="C155" s="18" t="inlineStr">
        <is>
          <t>harf_p_123</t>
        </is>
      </c>
      <c r="D155" s="19" t="inlineStr">
        <is>
          <t>—</t>
        </is>
      </c>
      <c r="E155" s="19" t="inlineStr">
        <is>
          <t>Particle</t>
        </is>
      </c>
      <c r="F155" s="20" t="n">
        <v>1</v>
      </c>
      <c r="G155" s="21">
        <f>F155/$F$178</f>
        <v/>
      </c>
      <c r="H155" s="21">
        <f>F155/77429</f>
        <v/>
      </c>
      <c r="I155" s="21">
        <f>I154+G155</f>
        <v/>
      </c>
      <c r="J155" s="19" t="inlineStr">
        <is>
          <t>Standard particle usage</t>
        </is>
      </c>
      <c r="K155" s="19" t="inlineStr">
        <is>
          <t>সাধারণ অব্যয়</t>
        </is>
      </c>
      <c r="L155" s="19" t="inlineStr">
        <is>
          <t>عام حرف</t>
        </is>
      </c>
      <c r="M155" s="19" t="inlineStr">
        <is>
          <t>partikel</t>
        </is>
      </c>
      <c r="N155" s="19" t="inlineStr">
        <is>
          <t>edat</t>
        </is>
      </c>
      <c r="O155" s="19" t="inlineStr">
        <is>
          <t>particule</t>
        </is>
      </c>
      <c r="P155" s="18" t="inlineStr">
        <is>
          <t>Standard Quranic sense.</t>
        </is>
      </c>
      <c r="Q155" s="19" t="inlineStr">
        <is>
          <t>Surah Ref</t>
        </is>
      </c>
      <c r="R155" s="17" t="inlineStr">
        <is>
          <t>【حَرْف_Programmatic_123】</t>
        </is>
      </c>
      <c r="S155" s="19" t="inlineStr">
        <is>
          <t>Example containing [harf_p_123]</t>
        </is>
      </c>
      <c r="T155" s="19" t="inlineStr">
        <is>
          <t>উদাহরণস্বরূপ [সাধারণ অব্যয়]</t>
        </is>
      </c>
      <c r="U155" s="19" t="inlineStr">
        <is>
          <t>مثال برائے [عام حرف]</t>
        </is>
      </c>
      <c r="V155" s="19" t="inlineStr">
        <is>
          <t>Contoh mengandung [harf_p_123]</t>
        </is>
      </c>
      <c r="W155" s="19" t="inlineStr">
        <is>
          <t>Örnek [harf_p_123]</t>
        </is>
      </c>
      <c r="X155" s="19" t="inlineStr">
        <is>
          <t>Exemple contenant [harf_p_123]</t>
        </is>
      </c>
    </row>
    <row r="156" ht="25" customHeight="1">
      <c r="A156" s="9" t="n">
        <v>152</v>
      </c>
      <c r="B156" s="22" t="inlineStr">
        <is>
          <t>حَرْف_Programmatic_124</t>
        </is>
      </c>
      <c r="C156" s="23" t="inlineStr">
        <is>
          <t>harf_p_124</t>
        </is>
      </c>
      <c r="D156" s="12" t="inlineStr">
        <is>
          <t>—</t>
        </is>
      </c>
      <c r="E156" s="12" t="inlineStr">
        <is>
          <t>Particle</t>
        </is>
      </c>
      <c r="F156" s="24" t="n">
        <v>1</v>
      </c>
      <c r="G156" s="25">
        <f>F156/$F$178</f>
        <v/>
      </c>
      <c r="H156" s="25">
        <f>F156/77429</f>
        <v/>
      </c>
      <c r="I156" s="25">
        <f>I155+G156</f>
        <v/>
      </c>
      <c r="J156" s="12" t="inlineStr">
        <is>
          <t>Standard particle usage</t>
        </is>
      </c>
      <c r="K156" s="12" t="inlineStr">
        <is>
          <t>সাধারণ অব্যয়</t>
        </is>
      </c>
      <c r="L156" s="12" t="inlineStr">
        <is>
          <t>عام حرف</t>
        </is>
      </c>
      <c r="M156" s="12" t="inlineStr">
        <is>
          <t>partikel</t>
        </is>
      </c>
      <c r="N156" s="12" t="inlineStr">
        <is>
          <t>edat</t>
        </is>
      </c>
      <c r="O156" s="12" t="inlineStr">
        <is>
          <t>particule</t>
        </is>
      </c>
      <c r="P156" s="23" t="inlineStr">
        <is>
          <t>Standard Quranic sense.</t>
        </is>
      </c>
      <c r="Q156" s="12" t="inlineStr">
        <is>
          <t>Surah Ref</t>
        </is>
      </c>
      <c r="R156" s="22" t="inlineStr">
        <is>
          <t>【حَرْف_Programmatic_124】</t>
        </is>
      </c>
      <c r="S156" s="12" t="inlineStr">
        <is>
          <t>Example containing [harf_p_124]</t>
        </is>
      </c>
      <c r="T156" s="12" t="inlineStr">
        <is>
          <t>উদাহরণস্বরূপ [সাধারণ অব্যয়]</t>
        </is>
      </c>
      <c r="U156" s="12" t="inlineStr">
        <is>
          <t>مثال برائے [عام حرف]</t>
        </is>
      </c>
      <c r="V156" s="12" t="inlineStr">
        <is>
          <t>Contoh mengandung [harf_p_124]</t>
        </is>
      </c>
      <c r="W156" s="12" t="inlineStr">
        <is>
          <t>Örnek [harf_p_124]</t>
        </is>
      </c>
      <c r="X156" s="12" t="inlineStr">
        <is>
          <t>Exemple contenant [harf_p_124]</t>
        </is>
      </c>
    </row>
    <row r="157" ht="25" customHeight="1">
      <c r="A157" s="16" t="n">
        <v>153</v>
      </c>
      <c r="B157" s="17" t="inlineStr">
        <is>
          <t>حَرْف_Programmatic_125</t>
        </is>
      </c>
      <c r="C157" s="18" t="inlineStr">
        <is>
          <t>harf_p_125</t>
        </is>
      </c>
      <c r="D157" s="19" t="inlineStr">
        <is>
          <t>—</t>
        </is>
      </c>
      <c r="E157" s="19" t="inlineStr">
        <is>
          <t>Particle</t>
        </is>
      </c>
      <c r="F157" s="20" t="n">
        <v>1</v>
      </c>
      <c r="G157" s="21">
        <f>F157/$F$178</f>
        <v/>
      </c>
      <c r="H157" s="21">
        <f>F157/77429</f>
        <v/>
      </c>
      <c r="I157" s="21">
        <f>I156+G157</f>
        <v/>
      </c>
      <c r="J157" s="19" t="inlineStr">
        <is>
          <t>Standard particle usage</t>
        </is>
      </c>
      <c r="K157" s="19" t="inlineStr">
        <is>
          <t>সাধারণ অব্যয়</t>
        </is>
      </c>
      <c r="L157" s="19" t="inlineStr">
        <is>
          <t>عام حرف</t>
        </is>
      </c>
      <c r="M157" s="19" t="inlineStr">
        <is>
          <t>partikel</t>
        </is>
      </c>
      <c r="N157" s="19" t="inlineStr">
        <is>
          <t>edat</t>
        </is>
      </c>
      <c r="O157" s="19" t="inlineStr">
        <is>
          <t>particule</t>
        </is>
      </c>
      <c r="P157" s="18" t="inlineStr">
        <is>
          <t>Standard Quranic sense.</t>
        </is>
      </c>
      <c r="Q157" s="19" t="inlineStr">
        <is>
          <t>Surah Ref</t>
        </is>
      </c>
      <c r="R157" s="17" t="inlineStr">
        <is>
          <t>【حَرْف_Programmatic_125】</t>
        </is>
      </c>
      <c r="S157" s="19" t="inlineStr">
        <is>
          <t>Example containing [harf_p_125]</t>
        </is>
      </c>
      <c r="T157" s="19" t="inlineStr">
        <is>
          <t>উদাহরণস্বরূপ [সাধারণ অব্যয়]</t>
        </is>
      </c>
      <c r="U157" s="19" t="inlineStr">
        <is>
          <t>مثال برائے [عام حرف]</t>
        </is>
      </c>
      <c r="V157" s="19" t="inlineStr">
        <is>
          <t>Contoh mengandung [harf_p_125]</t>
        </is>
      </c>
      <c r="W157" s="19" t="inlineStr">
        <is>
          <t>Örnek [harf_p_125]</t>
        </is>
      </c>
      <c r="X157" s="19" t="inlineStr">
        <is>
          <t>Exemple contenant [harf_p_125]</t>
        </is>
      </c>
    </row>
    <row r="158" ht="25" customHeight="1">
      <c r="A158" s="9" t="n">
        <v>154</v>
      </c>
      <c r="B158" s="22" t="inlineStr">
        <is>
          <t>حَرْف_Programmatic_126</t>
        </is>
      </c>
      <c r="C158" s="23" t="inlineStr">
        <is>
          <t>harf_p_126</t>
        </is>
      </c>
      <c r="D158" s="12" t="inlineStr">
        <is>
          <t>—</t>
        </is>
      </c>
      <c r="E158" s="12" t="inlineStr">
        <is>
          <t>Particle</t>
        </is>
      </c>
      <c r="F158" s="24" t="n">
        <v>1</v>
      </c>
      <c r="G158" s="25">
        <f>F158/$F$178</f>
        <v/>
      </c>
      <c r="H158" s="25">
        <f>F158/77429</f>
        <v/>
      </c>
      <c r="I158" s="25">
        <f>I157+G158</f>
        <v/>
      </c>
      <c r="J158" s="12" t="inlineStr">
        <is>
          <t>Standard particle usage</t>
        </is>
      </c>
      <c r="K158" s="12" t="inlineStr">
        <is>
          <t>সাধারণ অব্যয়</t>
        </is>
      </c>
      <c r="L158" s="12" t="inlineStr">
        <is>
          <t>عام حرف</t>
        </is>
      </c>
      <c r="M158" s="12" t="inlineStr">
        <is>
          <t>partikel</t>
        </is>
      </c>
      <c r="N158" s="12" t="inlineStr">
        <is>
          <t>edat</t>
        </is>
      </c>
      <c r="O158" s="12" t="inlineStr">
        <is>
          <t>particule</t>
        </is>
      </c>
      <c r="P158" s="23" t="inlineStr">
        <is>
          <t>Standard Quranic sense.</t>
        </is>
      </c>
      <c r="Q158" s="12" t="inlineStr">
        <is>
          <t>Surah Ref</t>
        </is>
      </c>
      <c r="R158" s="22" t="inlineStr">
        <is>
          <t>【حَرْف_Programmatic_126】</t>
        </is>
      </c>
      <c r="S158" s="12" t="inlineStr">
        <is>
          <t>Example containing [harf_p_126]</t>
        </is>
      </c>
      <c r="T158" s="12" t="inlineStr">
        <is>
          <t>উদাহরণস্বরূপ [সাধারণ অব্যয়]</t>
        </is>
      </c>
      <c r="U158" s="12" t="inlineStr">
        <is>
          <t>مثال برائے [عام حرف]</t>
        </is>
      </c>
      <c r="V158" s="12" t="inlineStr">
        <is>
          <t>Contoh mengandung [harf_p_126]</t>
        </is>
      </c>
      <c r="W158" s="12" t="inlineStr">
        <is>
          <t>Örnek [harf_p_126]</t>
        </is>
      </c>
      <c r="X158" s="12" t="inlineStr">
        <is>
          <t>Exemple contenant [harf_p_126]</t>
        </is>
      </c>
    </row>
    <row r="159" ht="25" customHeight="1">
      <c r="A159" s="16" t="n">
        <v>155</v>
      </c>
      <c r="B159" s="17" t="inlineStr">
        <is>
          <t>حَرْف_Programmatic_127</t>
        </is>
      </c>
      <c r="C159" s="18" t="inlineStr">
        <is>
          <t>harf_p_127</t>
        </is>
      </c>
      <c r="D159" s="19" t="inlineStr">
        <is>
          <t>—</t>
        </is>
      </c>
      <c r="E159" s="19" t="inlineStr">
        <is>
          <t>Particle</t>
        </is>
      </c>
      <c r="F159" s="20" t="n">
        <v>1</v>
      </c>
      <c r="G159" s="21">
        <f>F159/$F$178</f>
        <v/>
      </c>
      <c r="H159" s="21">
        <f>F159/77429</f>
        <v/>
      </c>
      <c r="I159" s="21">
        <f>I158+G159</f>
        <v/>
      </c>
      <c r="J159" s="19" t="inlineStr">
        <is>
          <t>Standard particle usage</t>
        </is>
      </c>
      <c r="K159" s="19" t="inlineStr">
        <is>
          <t>সাধারণ অব্যয়</t>
        </is>
      </c>
      <c r="L159" s="19" t="inlineStr">
        <is>
          <t>عام حرف</t>
        </is>
      </c>
      <c r="M159" s="19" t="inlineStr">
        <is>
          <t>partikel</t>
        </is>
      </c>
      <c r="N159" s="19" t="inlineStr">
        <is>
          <t>edat</t>
        </is>
      </c>
      <c r="O159" s="19" t="inlineStr">
        <is>
          <t>particule</t>
        </is>
      </c>
      <c r="P159" s="18" t="inlineStr">
        <is>
          <t>Standard Quranic sense.</t>
        </is>
      </c>
      <c r="Q159" s="19" t="inlineStr">
        <is>
          <t>Surah Ref</t>
        </is>
      </c>
      <c r="R159" s="17" t="inlineStr">
        <is>
          <t>【حَرْف_Programmatic_127】</t>
        </is>
      </c>
      <c r="S159" s="19" t="inlineStr">
        <is>
          <t>Example containing [harf_p_127]</t>
        </is>
      </c>
      <c r="T159" s="19" t="inlineStr">
        <is>
          <t>উদাহরণস্বরূপ [সাধারণ অব্যয়]</t>
        </is>
      </c>
      <c r="U159" s="19" t="inlineStr">
        <is>
          <t>مثال برائے [عام حرف]</t>
        </is>
      </c>
      <c r="V159" s="19" t="inlineStr">
        <is>
          <t>Contoh mengandung [harf_p_127]</t>
        </is>
      </c>
      <c r="W159" s="19" t="inlineStr">
        <is>
          <t>Örnek [harf_p_127]</t>
        </is>
      </c>
      <c r="X159" s="19" t="inlineStr">
        <is>
          <t>Exemple contenant [harf_p_127]</t>
        </is>
      </c>
    </row>
    <row r="160" ht="25" customHeight="1">
      <c r="A160" s="9" t="n">
        <v>156</v>
      </c>
      <c r="B160" s="22" t="inlineStr">
        <is>
          <t>حَرْف_Programmatic_128</t>
        </is>
      </c>
      <c r="C160" s="23" t="inlineStr">
        <is>
          <t>harf_p_128</t>
        </is>
      </c>
      <c r="D160" s="12" t="inlineStr">
        <is>
          <t>—</t>
        </is>
      </c>
      <c r="E160" s="12" t="inlineStr">
        <is>
          <t>Particle</t>
        </is>
      </c>
      <c r="F160" s="24" t="n">
        <v>1</v>
      </c>
      <c r="G160" s="25">
        <f>F160/$F$178</f>
        <v/>
      </c>
      <c r="H160" s="25">
        <f>F160/77429</f>
        <v/>
      </c>
      <c r="I160" s="25">
        <f>I159+G160</f>
        <v/>
      </c>
      <c r="J160" s="12" t="inlineStr">
        <is>
          <t>Standard particle usage</t>
        </is>
      </c>
      <c r="K160" s="12" t="inlineStr">
        <is>
          <t>সাধারণ অব্যয়</t>
        </is>
      </c>
      <c r="L160" s="12" t="inlineStr">
        <is>
          <t>عام حرف</t>
        </is>
      </c>
      <c r="M160" s="12" t="inlineStr">
        <is>
          <t>partikel</t>
        </is>
      </c>
      <c r="N160" s="12" t="inlineStr">
        <is>
          <t>edat</t>
        </is>
      </c>
      <c r="O160" s="12" t="inlineStr">
        <is>
          <t>particule</t>
        </is>
      </c>
      <c r="P160" s="23" t="inlineStr">
        <is>
          <t>Standard Quranic sense.</t>
        </is>
      </c>
      <c r="Q160" s="12" t="inlineStr">
        <is>
          <t>Surah Ref</t>
        </is>
      </c>
      <c r="R160" s="22" t="inlineStr">
        <is>
          <t>【حَرْف_Programmatic_128】</t>
        </is>
      </c>
      <c r="S160" s="12" t="inlineStr">
        <is>
          <t>Example containing [harf_p_128]</t>
        </is>
      </c>
      <c r="T160" s="12" t="inlineStr">
        <is>
          <t>উদাহরণস্বরূপ [সাধারণ অব্যয়]</t>
        </is>
      </c>
      <c r="U160" s="12" t="inlineStr">
        <is>
          <t>مثال برائے [عام حرف]</t>
        </is>
      </c>
      <c r="V160" s="12" t="inlineStr">
        <is>
          <t>Contoh mengandung [harf_p_128]</t>
        </is>
      </c>
      <c r="W160" s="12" t="inlineStr">
        <is>
          <t>Örnek [harf_p_128]</t>
        </is>
      </c>
      <c r="X160" s="12" t="inlineStr">
        <is>
          <t>Exemple contenant [harf_p_128]</t>
        </is>
      </c>
    </row>
    <row r="161" ht="25" customHeight="1">
      <c r="A161" s="16" t="n">
        <v>157</v>
      </c>
      <c r="B161" s="17" t="inlineStr">
        <is>
          <t>حَرْف_Programmatic_129</t>
        </is>
      </c>
      <c r="C161" s="18" t="inlineStr">
        <is>
          <t>harf_p_129</t>
        </is>
      </c>
      <c r="D161" s="19" t="inlineStr">
        <is>
          <t>—</t>
        </is>
      </c>
      <c r="E161" s="19" t="inlineStr">
        <is>
          <t>Particle</t>
        </is>
      </c>
      <c r="F161" s="20" t="n">
        <v>1</v>
      </c>
      <c r="G161" s="21">
        <f>F161/$F$178</f>
        <v/>
      </c>
      <c r="H161" s="21">
        <f>F161/77429</f>
        <v/>
      </c>
      <c r="I161" s="21">
        <f>I160+G161</f>
        <v/>
      </c>
      <c r="J161" s="19" t="inlineStr">
        <is>
          <t>Standard particle usage</t>
        </is>
      </c>
      <c r="K161" s="19" t="inlineStr">
        <is>
          <t>সাধারণ অব্যয়</t>
        </is>
      </c>
      <c r="L161" s="19" t="inlineStr">
        <is>
          <t>عام حرف</t>
        </is>
      </c>
      <c r="M161" s="19" t="inlineStr">
        <is>
          <t>partikel</t>
        </is>
      </c>
      <c r="N161" s="19" t="inlineStr">
        <is>
          <t>edat</t>
        </is>
      </c>
      <c r="O161" s="19" t="inlineStr">
        <is>
          <t>particule</t>
        </is>
      </c>
      <c r="P161" s="18" t="inlineStr">
        <is>
          <t>Standard Quranic sense.</t>
        </is>
      </c>
      <c r="Q161" s="19" t="inlineStr">
        <is>
          <t>Surah Ref</t>
        </is>
      </c>
      <c r="R161" s="17" t="inlineStr">
        <is>
          <t>【حَرْف_Programmatic_129】</t>
        </is>
      </c>
      <c r="S161" s="19" t="inlineStr">
        <is>
          <t>Example containing [harf_p_129]</t>
        </is>
      </c>
      <c r="T161" s="19" t="inlineStr">
        <is>
          <t>উদাহরণস্বরূপ [সাধারণ অব্যয়]</t>
        </is>
      </c>
      <c r="U161" s="19" t="inlineStr">
        <is>
          <t>مثال برائے [عام حرف]</t>
        </is>
      </c>
      <c r="V161" s="19" t="inlineStr">
        <is>
          <t>Contoh mengandung [harf_p_129]</t>
        </is>
      </c>
      <c r="W161" s="19" t="inlineStr">
        <is>
          <t>Örnek [harf_p_129]</t>
        </is>
      </c>
      <c r="X161" s="19" t="inlineStr">
        <is>
          <t>Exemple contenant [harf_p_129]</t>
        </is>
      </c>
    </row>
    <row r="162" ht="25" customHeight="1">
      <c r="A162" s="9" t="n">
        <v>158</v>
      </c>
      <c r="B162" s="22" t="inlineStr">
        <is>
          <t>حَرْف_Programmatic_130</t>
        </is>
      </c>
      <c r="C162" s="23" t="inlineStr">
        <is>
          <t>harf_p_130</t>
        </is>
      </c>
      <c r="D162" s="12" t="inlineStr">
        <is>
          <t>—</t>
        </is>
      </c>
      <c r="E162" s="12" t="inlineStr">
        <is>
          <t>Particle</t>
        </is>
      </c>
      <c r="F162" s="24" t="n">
        <v>1</v>
      </c>
      <c r="G162" s="25">
        <f>F162/$F$178</f>
        <v/>
      </c>
      <c r="H162" s="25">
        <f>F162/77429</f>
        <v/>
      </c>
      <c r="I162" s="25">
        <f>I161+G162</f>
        <v/>
      </c>
      <c r="J162" s="12" t="inlineStr">
        <is>
          <t>Standard particle usage</t>
        </is>
      </c>
      <c r="K162" s="12" t="inlineStr">
        <is>
          <t>সাধারণ অব্যয়</t>
        </is>
      </c>
      <c r="L162" s="12" t="inlineStr">
        <is>
          <t>عام حرف</t>
        </is>
      </c>
      <c r="M162" s="12" t="inlineStr">
        <is>
          <t>partikel</t>
        </is>
      </c>
      <c r="N162" s="12" t="inlineStr">
        <is>
          <t>edat</t>
        </is>
      </c>
      <c r="O162" s="12" t="inlineStr">
        <is>
          <t>particule</t>
        </is>
      </c>
      <c r="P162" s="23" t="inlineStr">
        <is>
          <t>Standard Quranic sense.</t>
        </is>
      </c>
      <c r="Q162" s="12" t="inlineStr">
        <is>
          <t>Surah Ref</t>
        </is>
      </c>
      <c r="R162" s="22" t="inlineStr">
        <is>
          <t>【حَرْف_Programmatic_130】</t>
        </is>
      </c>
      <c r="S162" s="12" t="inlineStr">
        <is>
          <t>Example containing [harf_p_130]</t>
        </is>
      </c>
      <c r="T162" s="12" t="inlineStr">
        <is>
          <t>উদাহরণস্বরূপ [সাধারণ অব্যয়]</t>
        </is>
      </c>
      <c r="U162" s="12" t="inlineStr">
        <is>
          <t>مثال برائے [عام حرف]</t>
        </is>
      </c>
      <c r="V162" s="12" t="inlineStr">
        <is>
          <t>Contoh mengandung [harf_p_130]</t>
        </is>
      </c>
      <c r="W162" s="12" t="inlineStr">
        <is>
          <t>Örnek [harf_p_130]</t>
        </is>
      </c>
      <c r="X162" s="12" t="inlineStr">
        <is>
          <t>Exemple contenant [harf_p_130]</t>
        </is>
      </c>
    </row>
    <row r="163" ht="25" customHeight="1">
      <c r="A163" s="16" t="n">
        <v>159</v>
      </c>
      <c r="B163" s="17" t="inlineStr">
        <is>
          <t>حَرْف_Programmatic_131</t>
        </is>
      </c>
      <c r="C163" s="18" t="inlineStr">
        <is>
          <t>harf_p_131</t>
        </is>
      </c>
      <c r="D163" s="19" t="inlineStr">
        <is>
          <t>—</t>
        </is>
      </c>
      <c r="E163" s="19" t="inlineStr">
        <is>
          <t>Particle</t>
        </is>
      </c>
      <c r="F163" s="20" t="n">
        <v>1</v>
      </c>
      <c r="G163" s="21">
        <f>F163/$F$178</f>
        <v/>
      </c>
      <c r="H163" s="21">
        <f>F163/77429</f>
        <v/>
      </c>
      <c r="I163" s="21">
        <f>I162+G163</f>
        <v/>
      </c>
      <c r="J163" s="19" t="inlineStr">
        <is>
          <t>Standard particle usage</t>
        </is>
      </c>
      <c r="K163" s="19" t="inlineStr">
        <is>
          <t>সাধারণ অব্যয়</t>
        </is>
      </c>
      <c r="L163" s="19" t="inlineStr">
        <is>
          <t>عام حرف</t>
        </is>
      </c>
      <c r="M163" s="19" t="inlineStr">
        <is>
          <t>partikel</t>
        </is>
      </c>
      <c r="N163" s="19" t="inlineStr">
        <is>
          <t>edat</t>
        </is>
      </c>
      <c r="O163" s="19" t="inlineStr">
        <is>
          <t>particule</t>
        </is>
      </c>
      <c r="P163" s="18" t="inlineStr">
        <is>
          <t>Standard Quranic sense.</t>
        </is>
      </c>
      <c r="Q163" s="19" t="inlineStr">
        <is>
          <t>Surah Ref</t>
        </is>
      </c>
      <c r="R163" s="17" t="inlineStr">
        <is>
          <t>【حَرْف_Programmatic_131】</t>
        </is>
      </c>
      <c r="S163" s="19" t="inlineStr">
        <is>
          <t>Example containing [harf_p_131]</t>
        </is>
      </c>
      <c r="T163" s="19" t="inlineStr">
        <is>
          <t>উদাহরণস্বরূপ [সাধারণ অব্যয়]</t>
        </is>
      </c>
      <c r="U163" s="19" t="inlineStr">
        <is>
          <t>مثال برائے [عام حرف]</t>
        </is>
      </c>
      <c r="V163" s="19" t="inlineStr">
        <is>
          <t>Contoh mengandung [harf_p_131]</t>
        </is>
      </c>
      <c r="W163" s="19" t="inlineStr">
        <is>
          <t>Örnek [harf_p_131]</t>
        </is>
      </c>
      <c r="X163" s="19" t="inlineStr">
        <is>
          <t>Exemple contenant [harf_p_131]</t>
        </is>
      </c>
    </row>
    <row r="164" ht="25" customHeight="1">
      <c r="A164" s="9" t="n">
        <v>160</v>
      </c>
      <c r="B164" s="22" t="inlineStr">
        <is>
          <t>حَرْف_Programmatic_132</t>
        </is>
      </c>
      <c r="C164" s="23" t="inlineStr">
        <is>
          <t>harf_p_132</t>
        </is>
      </c>
      <c r="D164" s="12" t="inlineStr">
        <is>
          <t>—</t>
        </is>
      </c>
      <c r="E164" s="12" t="inlineStr">
        <is>
          <t>Particle</t>
        </is>
      </c>
      <c r="F164" s="24" t="n">
        <v>1</v>
      </c>
      <c r="G164" s="25">
        <f>F164/$F$178</f>
        <v/>
      </c>
      <c r="H164" s="25">
        <f>F164/77429</f>
        <v/>
      </c>
      <c r="I164" s="25">
        <f>I163+G164</f>
        <v/>
      </c>
      <c r="J164" s="12" t="inlineStr">
        <is>
          <t>Standard particle usage</t>
        </is>
      </c>
      <c r="K164" s="12" t="inlineStr">
        <is>
          <t>সাধারণ অব্যয়</t>
        </is>
      </c>
      <c r="L164" s="12" t="inlineStr">
        <is>
          <t>عام حرف</t>
        </is>
      </c>
      <c r="M164" s="12" t="inlineStr">
        <is>
          <t>partikel</t>
        </is>
      </c>
      <c r="N164" s="12" t="inlineStr">
        <is>
          <t>edat</t>
        </is>
      </c>
      <c r="O164" s="12" t="inlineStr">
        <is>
          <t>particule</t>
        </is>
      </c>
      <c r="P164" s="23" t="inlineStr">
        <is>
          <t>Standard Quranic sense.</t>
        </is>
      </c>
      <c r="Q164" s="12" t="inlineStr">
        <is>
          <t>Surah Ref</t>
        </is>
      </c>
      <c r="R164" s="22" t="inlineStr">
        <is>
          <t>【حَرْف_Programmatic_132】</t>
        </is>
      </c>
      <c r="S164" s="12" t="inlineStr">
        <is>
          <t>Example containing [harf_p_132]</t>
        </is>
      </c>
      <c r="T164" s="12" t="inlineStr">
        <is>
          <t>উদাহরণস্বরূপ [সাধারণ অব্যয়]</t>
        </is>
      </c>
      <c r="U164" s="12" t="inlineStr">
        <is>
          <t>مثال برائے [عام حرف]</t>
        </is>
      </c>
      <c r="V164" s="12" t="inlineStr">
        <is>
          <t>Contoh mengandung [harf_p_132]</t>
        </is>
      </c>
      <c r="W164" s="12" t="inlineStr">
        <is>
          <t>Örnek [harf_p_132]</t>
        </is>
      </c>
      <c r="X164" s="12" t="inlineStr">
        <is>
          <t>Exemple contenant [harf_p_132]</t>
        </is>
      </c>
    </row>
    <row r="165" ht="25" customHeight="1">
      <c r="A165" s="16" t="n">
        <v>161</v>
      </c>
      <c r="B165" s="17" t="inlineStr">
        <is>
          <t>حَرْف_Programmatic_133</t>
        </is>
      </c>
      <c r="C165" s="18" t="inlineStr">
        <is>
          <t>harf_p_133</t>
        </is>
      </c>
      <c r="D165" s="19" t="inlineStr">
        <is>
          <t>—</t>
        </is>
      </c>
      <c r="E165" s="19" t="inlineStr">
        <is>
          <t>Particle</t>
        </is>
      </c>
      <c r="F165" s="20" t="n">
        <v>1</v>
      </c>
      <c r="G165" s="21">
        <f>F165/$F$178</f>
        <v/>
      </c>
      <c r="H165" s="21">
        <f>F165/77429</f>
        <v/>
      </c>
      <c r="I165" s="21">
        <f>I164+G165</f>
        <v/>
      </c>
      <c r="J165" s="19" t="inlineStr">
        <is>
          <t>Standard particle usage</t>
        </is>
      </c>
      <c r="K165" s="19" t="inlineStr">
        <is>
          <t>সাধারণ অব্যয়</t>
        </is>
      </c>
      <c r="L165" s="19" t="inlineStr">
        <is>
          <t>عام حرف</t>
        </is>
      </c>
      <c r="M165" s="19" t="inlineStr">
        <is>
          <t>partikel</t>
        </is>
      </c>
      <c r="N165" s="19" t="inlineStr">
        <is>
          <t>edat</t>
        </is>
      </c>
      <c r="O165" s="19" t="inlineStr">
        <is>
          <t>particule</t>
        </is>
      </c>
      <c r="P165" s="18" t="inlineStr">
        <is>
          <t>Standard Quranic sense.</t>
        </is>
      </c>
      <c r="Q165" s="19" t="inlineStr">
        <is>
          <t>Surah Ref</t>
        </is>
      </c>
      <c r="R165" s="17" t="inlineStr">
        <is>
          <t>【حَرْف_Programmatic_133】</t>
        </is>
      </c>
      <c r="S165" s="19" t="inlineStr">
        <is>
          <t>Example containing [harf_p_133]</t>
        </is>
      </c>
      <c r="T165" s="19" t="inlineStr">
        <is>
          <t>উদাহরণস্বরূপ [সাধারণ অব্যয়]</t>
        </is>
      </c>
      <c r="U165" s="19" t="inlineStr">
        <is>
          <t>مثال برائے [عام حرف]</t>
        </is>
      </c>
      <c r="V165" s="19" t="inlineStr">
        <is>
          <t>Contoh mengandung [harf_p_133]</t>
        </is>
      </c>
      <c r="W165" s="19" t="inlineStr">
        <is>
          <t>Örnek [harf_p_133]</t>
        </is>
      </c>
      <c r="X165" s="19" t="inlineStr">
        <is>
          <t>Exemple contenant [harf_p_133]</t>
        </is>
      </c>
    </row>
    <row r="166" ht="25" customHeight="1">
      <c r="A166" s="9" t="n">
        <v>162</v>
      </c>
      <c r="B166" s="22" t="inlineStr">
        <is>
          <t>حَرْف_Programmatic_134</t>
        </is>
      </c>
      <c r="C166" s="23" t="inlineStr">
        <is>
          <t>harf_p_134</t>
        </is>
      </c>
      <c r="D166" s="12" t="inlineStr">
        <is>
          <t>—</t>
        </is>
      </c>
      <c r="E166" s="12" t="inlineStr">
        <is>
          <t>Particle</t>
        </is>
      </c>
      <c r="F166" s="24" t="n">
        <v>1</v>
      </c>
      <c r="G166" s="25">
        <f>F166/$F$178</f>
        <v/>
      </c>
      <c r="H166" s="25">
        <f>F166/77429</f>
        <v/>
      </c>
      <c r="I166" s="25">
        <f>I165+G166</f>
        <v/>
      </c>
      <c r="J166" s="12" t="inlineStr">
        <is>
          <t>Standard particle usage</t>
        </is>
      </c>
      <c r="K166" s="12" t="inlineStr">
        <is>
          <t>সাধারণ অব্যয়</t>
        </is>
      </c>
      <c r="L166" s="12" t="inlineStr">
        <is>
          <t>عام حرف</t>
        </is>
      </c>
      <c r="M166" s="12" t="inlineStr">
        <is>
          <t>partikel</t>
        </is>
      </c>
      <c r="N166" s="12" t="inlineStr">
        <is>
          <t>edat</t>
        </is>
      </c>
      <c r="O166" s="12" t="inlineStr">
        <is>
          <t>particule</t>
        </is>
      </c>
      <c r="P166" s="23" t="inlineStr">
        <is>
          <t>Standard Quranic sense.</t>
        </is>
      </c>
      <c r="Q166" s="12" t="inlineStr">
        <is>
          <t>Surah Ref</t>
        </is>
      </c>
      <c r="R166" s="22" t="inlineStr">
        <is>
          <t>【حَرْف_Programmatic_134】</t>
        </is>
      </c>
      <c r="S166" s="12" t="inlineStr">
        <is>
          <t>Example containing [harf_p_134]</t>
        </is>
      </c>
      <c r="T166" s="12" t="inlineStr">
        <is>
          <t>উদাহরণস্বরূপ [সাধারণ অব্যয়]</t>
        </is>
      </c>
      <c r="U166" s="12" t="inlineStr">
        <is>
          <t>مثال برائے [عام حرف]</t>
        </is>
      </c>
      <c r="V166" s="12" t="inlineStr">
        <is>
          <t>Contoh mengandung [harf_p_134]</t>
        </is>
      </c>
      <c r="W166" s="12" t="inlineStr">
        <is>
          <t>Örnek [harf_p_134]</t>
        </is>
      </c>
      <c r="X166" s="12" t="inlineStr">
        <is>
          <t>Exemple contenant [harf_p_134]</t>
        </is>
      </c>
    </row>
    <row r="167" ht="25" customHeight="1">
      <c r="A167" s="16" t="n">
        <v>163</v>
      </c>
      <c r="B167" s="17" t="inlineStr">
        <is>
          <t>حَرْف_Programmatic_135</t>
        </is>
      </c>
      <c r="C167" s="18" t="inlineStr">
        <is>
          <t>harf_p_135</t>
        </is>
      </c>
      <c r="D167" s="19" t="inlineStr">
        <is>
          <t>—</t>
        </is>
      </c>
      <c r="E167" s="19" t="inlineStr">
        <is>
          <t>Particle</t>
        </is>
      </c>
      <c r="F167" s="20" t="n">
        <v>1</v>
      </c>
      <c r="G167" s="21">
        <f>F167/$F$178</f>
        <v/>
      </c>
      <c r="H167" s="21">
        <f>F167/77429</f>
        <v/>
      </c>
      <c r="I167" s="21">
        <f>I166+G167</f>
        <v/>
      </c>
      <c r="J167" s="19" t="inlineStr">
        <is>
          <t>Standard particle usage</t>
        </is>
      </c>
      <c r="K167" s="19" t="inlineStr">
        <is>
          <t>সাধারণ অব্যয়</t>
        </is>
      </c>
      <c r="L167" s="19" t="inlineStr">
        <is>
          <t>عام حرف</t>
        </is>
      </c>
      <c r="M167" s="19" t="inlineStr">
        <is>
          <t>partikel</t>
        </is>
      </c>
      <c r="N167" s="19" t="inlineStr">
        <is>
          <t>edat</t>
        </is>
      </c>
      <c r="O167" s="19" t="inlineStr">
        <is>
          <t>particule</t>
        </is>
      </c>
      <c r="P167" s="18" t="inlineStr">
        <is>
          <t>Standard Quranic sense.</t>
        </is>
      </c>
      <c r="Q167" s="19" t="inlineStr">
        <is>
          <t>Surah Ref</t>
        </is>
      </c>
      <c r="R167" s="17" t="inlineStr">
        <is>
          <t>【حَرْف_Programmatic_135】</t>
        </is>
      </c>
      <c r="S167" s="19" t="inlineStr">
        <is>
          <t>Example containing [harf_p_135]</t>
        </is>
      </c>
      <c r="T167" s="19" t="inlineStr">
        <is>
          <t>উদাহরণস্বরূপ [সাধারণ অব্যয়]</t>
        </is>
      </c>
      <c r="U167" s="19" t="inlineStr">
        <is>
          <t>مثال برائے [عام حرف]</t>
        </is>
      </c>
      <c r="V167" s="19" t="inlineStr">
        <is>
          <t>Contoh mengandung [harf_p_135]</t>
        </is>
      </c>
      <c r="W167" s="19" t="inlineStr">
        <is>
          <t>Örnek [harf_p_135]</t>
        </is>
      </c>
      <c r="X167" s="19" t="inlineStr">
        <is>
          <t>Exemple contenant [harf_p_135]</t>
        </is>
      </c>
    </row>
    <row r="168" ht="25" customHeight="1">
      <c r="A168" s="9" t="n">
        <v>164</v>
      </c>
      <c r="B168" s="22" t="inlineStr">
        <is>
          <t>حَرْف_Programmatic_136</t>
        </is>
      </c>
      <c r="C168" s="23" t="inlineStr">
        <is>
          <t>harf_p_136</t>
        </is>
      </c>
      <c r="D168" s="12" t="inlineStr">
        <is>
          <t>—</t>
        </is>
      </c>
      <c r="E168" s="12" t="inlineStr">
        <is>
          <t>Particle</t>
        </is>
      </c>
      <c r="F168" s="24" t="n">
        <v>1</v>
      </c>
      <c r="G168" s="25">
        <f>F168/$F$178</f>
        <v/>
      </c>
      <c r="H168" s="25">
        <f>F168/77429</f>
        <v/>
      </c>
      <c r="I168" s="25">
        <f>I167+G168</f>
        <v/>
      </c>
      <c r="J168" s="12" t="inlineStr">
        <is>
          <t>Standard particle usage</t>
        </is>
      </c>
      <c r="K168" s="12" t="inlineStr">
        <is>
          <t>সাধারণ অব্যয়</t>
        </is>
      </c>
      <c r="L168" s="12" t="inlineStr">
        <is>
          <t>عام حرف</t>
        </is>
      </c>
      <c r="M168" s="12" t="inlineStr">
        <is>
          <t>partikel</t>
        </is>
      </c>
      <c r="N168" s="12" t="inlineStr">
        <is>
          <t>edat</t>
        </is>
      </c>
      <c r="O168" s="12" t="inlineStr">
        <is>
          <t>particule</t>
        </is>
      </c>
      <c r="P168" s="23" t="inlineStr">
        <is>
          <t>Standard Quranic sense.</t>
        </is>
      </c>
      <c r="Q168" s="12" t="inlineStr">
        <is>
          <t>Surah Ref</t>
        </is>
      </c>
      <c r="R168" s="22" t="inlineStr">
        <is>
          <t>【حَرْف_Programmatic_136】</t>
        </is>
      </c>
      <c r="S168" s="12" t="inlineStr">
        <is>
          <t>Example containing [harf_p_136]</t>
        </is>
      </c>
      <c r="T168" s="12" t="inlineStr">
        <is>
          <t>উদাহরণস্বরূপ [সাধারণ অব্যয়]</t>
        </is>
      </c>
      <c r="U168" s="12" t="inlineStr">
        <is>
          <t>مثال برائے [عام حرف]</t>
        </is>
      </c>
      <c r="V168" s="12" t="inlineStr">
        <is>
          <t>Contoh mengandung [harf_p_136]</t>
        </is>
      </c>
      <c r="W168" s="12" t="inlineStr">
        <is>
          <t>Örnek [harf_p_136]</t>
        </is>
      </c>
      <c r="X168" s="12" t="inlineStr">
        <is>
          <t>Exemple contenant [harf_p_136]</t>
        </is>
      </c>
    </row>
    <row r="169" ht="25" customHeight="1">
      <c r="A169" s="16" t="n">
        <v>165</v>
      </c>
      <c r="B169" s="17" t="inlineStr">
        <is>
          <t>حَرْف_Programmatic_137</t>
        </is>
      </c>
      <c r="C169" s="18" t="inlineStr">
        <is>
          <t>harf_p_137</t>
        </is>
      </c>
      <c r="D169" s="19" t="inlineStr">
        <is>
          <t>—</t>
        </is>
      </c>
      <c r="E169" s="19" t="inlineStr">
        <is>
          <t>Particle</t>
        </is>
      </c>
      <c r="F169" s="20" t="n">
        <v>1</v>
      </c>
      <c r="G169" s="21">
        <f>F169/$F$178</f>
        <v/>
      </c>
      <c r="H169" s="21">
        <f>F169/77429</f>
        <v/>
      </c>
      <c r="I169" s="21">
        <f>I168+G169</f>
        <v/>
      </c>
      <c r="J169" s="19" t="inlineStr">
        <is>
          <t>Standard particle usage</t>
        </is>
      </c>
      <c r="K169" s="19" t="inlineStr">
        <is>
          <t>সাধারণ অব্যয়</t>
        </is>
      </c>
      <c r="L169" s="19" t="inlineStr">
        <is>
          <t>عام حرف</t>
        </is>
      </c>
      <c r="M169" s="19" t="inlineStr">
        <is>
          <t>partikel</t>
        </is>
      </c>
      <c r="N169" s="19" t="inlineStr">
        <is>
          <t>edat</t>
        </is>
      </c>
      <c r="O169" s="19" t="inlineStr">
        <is>
          <t>particule</t>
        </is>
      </c>
      <c r="P169" s="18" t="inlineStr">
        <is>
          <t>Standard Quranic sense.</t>
        </is>
      </c>
      <c r="Q169" s="19" t="inlineStr">
        <is>
          <t>Surah Ref</t>
        </is>
      </c>
      <c r="R169" s="17" t="inlineStr">
        <is>
          <t>【حَرْف_Programmatic_137】</t>
        </is>
      </c>
      <c r="S169" s="19" t="inlineStr">
        <is>
          <t>Example containing [harf_p_137]</t>
        </is>
      </c>
      <c r="T169" s="19" t="inlineStr">
        <is>
          <t>উদাহরণস্বরূপ [সাধারণ অব্যয়]</t>
        </is>
      </c>
      <c r="U169" s="19" t="inlineStr">
        <is>
          <t>مثال برائے [عام حرف]</t>
        </is>
      </c>
      <c r="V169" s="19" t="inlineStr">
        <is>
          <t>Contoh mengandung [harf_p_137]</t>
        </is>
      </c>
      <c r="W169" s="19" t="inlineStr">
        <is>
          <t>Örnek [harf_p_137]</t>
        </is>
      </c>
      <c r="X169" s="19" t="inlineStr">
        <is>
          <t>Exemple contenant [harf_p_137]</t>
        </is>
      </c>
    </row>
    <row r="170" ht="25" customHeight="1">
      <c r="A170" s="9" t="n">
        <v>166</v>
      </c>
      <c r="B170" s="22" t="inlineStr">
        <is>
          <t>حَرْف_Programmatic_138</t>
        </is>
      </c>
      <c r="C170" s="23" t="inlineStr">
        <is>
          <t>harf_p_138</t>
        </is>
      </c>
      <c r="D170" s="12" t="inlineStr">
        <is>
          <t>—</t>
        </is>
      </c>
      <c r="E170" s="12" t="inlineStr">
        <is>
          <t>Particle</t>
        </is>
      </c>
      <c r="F170" s="24" t="n">
        <v>1</v>
      </c>
      <c r="G170" s="25">
        <f>F170/$F$178</f>
        <v/>
      </c>
      <c r="H170" s="25">
        <f>F170/77429</f>
        <v/>
      </c>
      <c r="I170" s="25">
        <f>I169+G170</f>
        <v/>
      </c>
      <c r="J170" s="12" t="inlineStr">
        <is>
          <t>Standard particle usage</t>
        </is>
      </c>
      <c r="K170" s="12" t="inlineStr">
        <is>
          <t>সাধারণ অব্যয়</t>
        </is>
      </c>
      <c r="L170" s="12" t="inlineStr">
        <is>
          <t>عام حرف</t>
        </is>
      </c>
      <c r="M170" s="12" t="inlineStr">
        <is>
          <t>partikel</t>
        </is>
      </c>
      <c r="N170" s="12" t="inlineStr">
        <is>
          <t>edat</t>
        </is>
      </c>
      <c r="O170" s="12" t="inlineStr">
        <is>
          <t>particule</t>
        </is>
      </c>
      <c r="P170" s="23" t="inlineStr">
        <is>
          <t>Standard Quranic sense.</t>
        </is>
      </c>
      <c r="Q170" s="12" t="inlineStr">
        <is>
          <t>Surah Ref</t>
        </is>
      </c>
      <c r="R170" s="22" t="inlineStr">
        <is>
          <t>【حَرْف_Programmatic_138】</t>
        </is>
      </c>
      <c r="S170" s="12" t="inlineStr">
        <is>
          <t>Example containing [harf_p_138]</t>
        </is>
      </c>
      <c r="T170" s="12" t="inlineStr">
        <is>
          <t>উদাহরণস্বরূপ [সাধারণ অব্যয়]</t>
        </is>
      </c>
      <c r="U170" s="12" t="inlineStr">
        <is>
          <t>مثال برائے [عام حرف]</t>
        </is>
      </c>
      <c r="V170" s="12" t="inlineStr">
        <is>
          <t>Contoh mengandung [harf_p_138]</t>
        </is>
      </c>
      <c r="W170" s="12" t="inlineStr">
        <is>
          <t>Örnek [harf_p_138]</t>
        </is>
      </c>
      <c r="X170" s="12" t="inlineStr">
        <is>
          <t>Exemple contenant [harf_p_138]</t>
        </is>
      </c>
    </row>
    <row r="171" ht="25" customHeight="1">
      <c r="A171" s="16" t="n">
        <v>167</v>
      </c>
      <c r="B171" s="17" t="inlineStr">
        <is>
          <t>حَرْف_Programmatic_139</t>
        </is>
      </c>
      <c r="C171" s="18" t="inlineStr">
        <is>
          <t>harf_p_139</t>
        </is>
      </c>
      <c r="D171" s="19" t="inlineStr">
        <is>
          <t>—</t>
        </is>
      </c>
      <c r="E171" s="19" t="inlineStr">
        <is>
          <t>Particle</t>
        </is>
      </c>
      <c r="F171" s="20" t="n">
        <v>1</v>
      </c>
      <c r="G171" s="21">
        <f>F171/$F$178</f>
        <v/>
      </c>
      <c r="H171" s="21">
        <f>F171/77429</f>
        <v/>
      </c>
      <c r="I171" s="21">
        <f>I170+G171</f>
        <v/>
      </c>
      <c r="J171" s="19" t="inlineStr">
        <is>
          <t>Standard particle usage</t>
        </is>
      </c>
      <c r="K171" s="19" t="inlineStr">
        <is>
          <t>সাধারণ অব্যয়</t>
        </is>
      </c>
      <c r="L171" s="19" t="inlineStr">
        <is>
          <t>عام حرف</t>
        </is>
      </c>
      <c r="M171" s="19" t="inlineStr">
        <is>
          <t>partikel</t>
        </is>
      </c>
      <c r="N171" s="19" t="inlineStr">
        <is>
          <t>edat</t>
        </is>
      </c>
      <c r="O171" s="19" t="inlineStr">
        <is>
          <t>particule</t>
        </is>
      </c>
      <c r="P171" s="18" t="inlineStr">
        <is>
          <t>Standard Quranic sense.</t>
        </is>
      </c>
      <c r="Q171" s="19" t="inlineStr">
        <is>
          <t>Surah Ref</t>
        </is>
      </c>
      <c r="R171" s="17" t="inlineStr">
        <is>
          <t>【حَرْف_Programmatic_139】</t>
        </is>
      </c>
      <c r="S171" s="19" t="inlineStr">
        <is>
          <t>Example containing [harf_p_139]</t>
        </is>
      </c>
      <c r="T171" s="19" t="inlineStr">
        <is>
          <t>উদাহরণস্বরূপ [সাধারণ অব্যয়]</t>
        </is>
      </c>
      <c r="U171" s="19" t="inlineStr">
        <is>
          <t>مثال برائے [عام حرف]</t>
        </is>
      </c>
      <c r="V171" s="19" t="inlineStr">
        <is>
          <t>Contoh mengandung [harf_p_139]</t>
        </is>
      </c>
      <c r="W171" s="19" t="inlineStr">
        <is>
          <t>Örnek [harf_p_139]</t>
        </is>
      </c>
      <c r="X171" s="19" t="inlineStr">
        <is>
          <t>Exemple contenant [harf_p_139]</t>
        </is>
      </c>
    </row>
    <row r="172" ht="25" customHeight="1">
      <c r="A172" s="9" t="n">
        <v>168</v>
      </c>
      <c r="B172" s="22" t="inlineStr">
        <is>
          <t>حَرْف_Programmatic_140</t>
        </is>
      </c>
      <c r="C172" s="23" t="inlineStr">
        <is>
          <t>harf_p_140</t>
        </is>
      </c>
      <c r="D172" s="12" t="inlineStr">
        <is>
          <t>—</t>
        </is>
      </c>
      <c r="E172" s="12" t="inlineStr">
        <is>
          <t>Particle</t>
        </is>
      </c>
      <c r="F172" s="24" t="n">
        <v>1</v>
      </c>
      <c r="G172" s="25">
        <f>F172/$F$178</f>
        <v/>
      </c>
      <c r="H172" s="25">
        <f>F172/77429</f>
        <v/>
      </c>
      <c r="I172" s="25">
        <f>I171+G172</f>
        <v/>
      </c>
      <c r="J172" s="12" t="inlineStr">
        <is>
          <t>Standard particle usage</t>
        </is>
      </c>
      <c r="K172" s="12" t="inlineStr">
        <is>
          <t>সাধারণ অব্যয়</t>
        </is>
      </c>
      <c r="L172" s="12" t="inlineStr">
        <is>
          <t>عام حرف</t>
        </is>
      </c>
      <c r="M172" s="12" t="inlineStr">
        <is>
          <t>partikel</t>
        </is>
      </c>
      <c r="N172" s="12" t="inlineStr">
        <is>
          <t>edat</t>
        </is>
      </c>
      <c r="O172" s="12" t="inlineStr">
        <is>
          <t>particule</t>
        </is>
      </c>
      <c r="P172" s="23" t="inlineStr">
        <is>
          <t>Standard Quranic sense.</t>
        </is>
      </c>
      <c r="Q172" s="12" t="inlineStr">
        <is>
          <t>Surah Ref</t>
        </is>
      </c>
      <c r="R172" s="22" t="inlineStr">
        <is>
          <t>【حَرْف_Programmatic_140】</t>
        </is>
      </c>
      <c r="S172" s="12" t="inlineStr">
        <is>
          <t>Example containing [harf_p_140]</t>
        </is>
      </c>
      <c r="T172" s="12" t="inlineStr">
        <is>
          <t>উদাহরণস্বরূপ [সাধারণ অব্যয়]</t>
        </is>
      </c>
      <c r="U172" s="12" t="inlineStr">
        <is>
          <t>مثال برائے [عام حرف]</t>
        </is>
      </c>
      <c r="V172" s="12" t="inlineStr">
        <is>
          <t>Contoh mengandung [harf_p_140]</t>
        </is>
      </c>
      <c r="W172" s="12" t="inlineStr">
        <is>
          <t>Örnek [harf_p_140]</t>
        </is>
      </c>
      <c r="X172" s="12" t="inlineStr">
        <is>
          <t>Exemple contenant [harf_p_140]</t>
        </is>
      </c>
    </row>
    <row r="173" ht="25" customHeight="1">
      <c r="A173" s="16" t="n">
        <v>169</v>
      </c>
      <c r="B173" s="17" t="inlineStr">
        <is>
          <t>حَرْف_Programmatic_141</t>
        </is>
      </c>
      <c r="C173" s="18" t="inlineStr">
        <is>
          <t>harf_p_141</t>
        </is>
      </c>
      <c r="D173" s="19" t="inlineStr">
        <is>
          <t>—</t>
        </is>
      </c>
      <c r="E173" s="19" t="inlineStr">
        <is>
          <t>Particle</t>
        </is>
      </c>
      <c r="F173" s="20" t="n">
        <v>1</v>
      </c>
      <c r="G173" s="21">
        <f>F173/$F$178</f>
        <v/>
      </c>
      <c r="H173" s="21">
        <f>F173/77429</f>
        <v/>
      </c>
      <c r="I173" s="21">
        <f>I172+G173</f>
        <v/>
      </c>
      <c r="J173" s="19" t="inlineStr">
        <is>
          <t>Standard particle usage</t>
        </is>
      </c>
      <c r="K173" s="19" t="inlineStr">
        <is>
          <t>সাধারণ অব্যয়</t>
        </is>
      </c>
      <c r="L173" s="19" t="inlineStr">
        <is>
          <t>عام حرف</t>
        </is>
      </c>
      <c r="M173" s="19" t="inlineStr">
        <is>
          <t>partikel</t>
        </is>
      </c>
      <c r="N173" s="19" t="inlineStr">
        <is>
          <t>edat</t>
        </is>
      </c>
      <c r="O173" s="19" t="inlineStr">
        <is>
          <t>particule</t>
        </is>
      </c>
      <c r="P173" s="18" t="inlineStr">
        <is>
          <t>Standard Quranic sense.</t>
        </is>
      </c>
      <c r="Q173" s="19" t="inlineStr">
        <is>
          <t>Surah Ref</t>
        </is>
      </c>
      <c r="R173" s="17" t="inlineStr">
        <is>
          <t>【حَرْف_Programmatic_141】</t>
        </is>
      </c>
      <c r="S173" s="19" t="inlineStr">
        <is>
          <t>Example containing [harf_p_141]</t>
        </is>
      </c>
      <c r="T173" s="19" t="inlineStr">
        <is>
          <t>উদাহরণস্বরূপ [সাধারণ অব্যয়]</t>
        </is>
      </c>
      <c r="U173" s="19" t="inlineStr">
        <is>
          <t>مثال برائے [عام حرف]</t>
        </is>
      </c>
      <c r="V173" s="19" t="inlineStr">
        <is>
          <t>Contoh mengandung [harf_p_141]</t>
        </is>
      </c>
      <c r="W173" s="19" t="inlineStr">
        <is>
          <t>Örnek [harf_p_141]</t>
        </is>
      </c>
      <c r="X173" s="19" t="inlineStr">
        <is>
          <t>Exemple contenant [harf_p_141]</t>
        </is>
      </c>
    </row>
    <row r="174" ht="25" customHeight="1">
      <c r="A174" s="9" t="n">
        <v>170</v>
      </c>
      <c r="B174" s="22" t="inlineStr">
        <is>
          <t>حَرْف_Programmatic_142</t>
        </is>
      </c>
      <c r="C174" s="23" t="inlineStr">
        <is>
          <t>harf_p_142</t>
        </is>
      </c>
      <c r="D174" s="12" t="inlineStr">
        <is>
          <t>—</t>
        </is>
      </c>
      <c r="E174" s="12" t="inlineStr">
        <is>
          <t>Particle</t>
        </is>
      </c>
      <c r="F174" s="24" t="n">
        <v>1</v>
      </c>
      <c r="G174" s="25">
        <f>F174/$F$178</f>
        <v/>
      </c>
      <c r="H174" s="25">
        <f>F174/77429</f>
        <v/>
      </c>
      <c r="I174" s="25">
        <f>I173+G174</f>
        <v/>
      </c>
      <c r="J174" s="12" t="inlineStr">
        <is>
          <t>Standard particle usage</t>
        </is>
      </c>
      <c r="K174" s="12" t="inlineStr">
        <is>
          <t>সাধারণ অব্যয়</t>
        </is>
      </c>
      <c r="L174" s="12" t="inlineStr">
        <is>
          <t>عام حرف</t>
        </is>
      </c>
      <c r="M174" s="12" t="inlineStr">
        <is>
          <t>partikel</t>
        </is>
      </c>
      <c r="N174" s="12" t="inlineStr">
        <is>
          <t>edat</t>
        </is>
      </c>
      <c r="O174" s="12" t="inlineStr">
        <is>
          <t>particule</t>
        </is>
      </c>
      <c r="P174" s="23" t="inlineStr">
        <is>
          <t>Standard Quranic sense.</t>
        </is>
      </c>
      <c r="Q174" s="12" t="inlineStr">
        <is>
          <t>Surah Ref</t>
        </is>
      </c>
      <c r="R174" s="22" t="inlineStr">
        <is>
          <t>【حَرْف_Programmatic_142】</t>
        </is>
      </c>
      <c r="S174" s="12" t="inlineStr">
        <is>
          <t>Example containing [harf_p_142]</t>
        </is>
      </c>
      <c r="T174" s="12" t="inlineStr">
        <is>
          <t>উদাহরণস্বরূপ [সাধারণ অব্যয়]</t>
        </is>
      </c>
      <c r="U174" s="12" t="inlineStr">
        <is>
          <t>مثال برائے [عام حرف]</t>
        </is>
      </c>
      <c r="V174" s="12" t="inlineStr">
        <is>
          <t>Contoh mengandung [harf_p_142]</t>
        </is>
      </c>
      <c r="W174" s="12" t="inlineStr">
        <is>
          <t>Örnek [harf_p_142]</t>
        </is>
      </c>
      <c r="X174" s="12" t="inlineStr">
        <is>
          <t>Exemple contenant [harf_p_142]</t>
        </is>
      </c>
    </row>
    <row r="175" ht="25" customHeight="1">
      <c r="A175" s="16" t="n">
        <v>171</v>
      </c>
      <c r="B175" s="17" t="inlineStr">
        <is>
          <t>حَرْف_Programmatic_143</t>
        </is>
      </c>
      <c r="C175" s="18" t="inlineStr">
        <is>
          <t>harf_p_143</t>
        </is>
      </c>
      <c r="D175" s="19" t="inlineStr">
        <is>
          <t>—</t>
        </is>
      </c>
      <c r="E175" s="19" t="inlineStr">
        <is>
          <t>Particle</t>
        </is>
      </c>
      <c r="F175" s="20" t="n">
        <v>1</v>
      </c>
      <c r="G175" s="21">
        <f>F175/$F$178</f>
        <v/>
      </c>
      <c r="H175" s="21">
        <f>F175/77429</f>
        <v/>
      </c>
      <c r="I175" s="21">
        <f>I174+G175</f>
        <v/>
      </c>
      <c r="J175" s="19" t="inlineStr">
        <is>
          <t>Standard particle usage</t>
        </is>
      </c>
      <c r="K175" s="19" t="inlineStr">
        <is>
          <t>সাধারণ অব্যয়</t>
        </is>
      </c>
      <c r="L175" s="19" t="inlineStr">
        <is>
          <t>عام حرف</t>
        </is>
      </c>
      <c r="M175" s="19" t="inlineStr">
        <is>
          <t>partikel</t>
        </is>
      </c>
      <c r="N175" s="19" t="inlineStr">
        <is>
          <t>edat</t>
        </is>
      </c>
      <c r="O175" s="19" t="inlineStr">
        <is>
          <t>particule</t>
        </is>
      </c>
      <c r="P175" s="18" t="inlineStr">
        <is>
          <t>Standard Quranic sense.</t>
        </is>
      </c>
      <c r="Q175" s="19" t="inlineStr">
        <is>
          <t>Surah Ref</t>
        </is>
      </c>
      <c r="R175" s="17" t="inlineStr">
        <is>
          <t>【حَرْف_Programmatic_143】</t>
        </is>
      </c>
      <c r="S175" s="19" t="inlineStr">
        <is>
          <t>Example containing [harf_p_143]</t>
        </is>
      </c>
      <c r="T175" s="19" t="inlineStr">
        <is>
          <t>উদাহরণস্বরূপ [সাধারণ অব্যয়]</t>
        </is>
      </c>
      <c r="U175" s="19" t="inlineStr">
        <is>
          <t>مثال برائے [عام حرف]</t>
        </is>
      </c>
      <c r="V175" s="19" t="inlineStr">
        <is>
          <t>Contoh mengandung [harf_p_143]</t>
        </is>
      </c>
      <c r="W175" s="19" t="inlineStr">
        <is>
          <t>Örnek [harf_p_143]</t>
        </is>
      </c>
      <c r="X175" s="19" t="inlineStr">
        <is>
          <t>Exemple contenant [harf_p_143]</t>
        </is>
      </c>
    </row>
    <row r="176" ht="25" customHeight="1">
      <c r="A176" s="9" t="n">
        <v>172</v>
      </c>
      <c r="B176" s="22" t="inlineStr">
        <is>
          <t>حَرْف_Programmatic_144</t>
        </is>
      </c>
      <c r="C176" s="23" t="inlineStr">
        <is>
          <t>harf_p_144</t>
        </is>
      </c>
      <c r="D176" s="12" t="inlineStr">
        <is>
          <t>—</t>
        </is>
      </c>
      <c r="E176" s="12" t="inlineStr">
        <is>
          <t>Particle</t>
        </is>
      </c>
      <c r="F176" s="24" t="n">
        <v>1</v>
      </c>
      <c r="G176" s="25">
        <f>F176/$F$178</f>
        <v/>
      </c>
      <c r="H176" s="25">
        <f>F176/77429</f>
        <v/>
      </c>
      <c r="I176" s="25">
        <f>I175+G176</f>
        <v/>
      </c>
      <c r="J176" s="12" t="inlineStr">
        <is>
          <t>Standard particle usage</t>
        </is>
      </c>
      <c r="K176" s="12" t="inlineStr">
        <is>
          <t>সাধারণ অব্যয়</t>
        </is>
      </c>
      <c r="L176" s="12" t="inlineStr">
        <is>
          <t>عام حرف</t>
        </is>
      </c>
      <c r="M176" s="12" t="inlineStr">
        <is>
          <t>partikel</t>
        </is>
      </c>
      <c r="N176" s="12" t="inlineStr">
        <is>
          <t>edat</t>
        </is>
      </c>
      <c r="O176" s="12" t="inlineStr">
        <is>
          <t>particule</t>
        </is>
      </c>
      <c r="P176" s="23" t="inlineStr">
        <is>
          <t>Standard Quranic sense.</t>
        </is>
      </c>
      <c r="Q176" s="12" t="inlineStr">
        <is>
          <t>Surah Ref</t>
        </is>
      </c>
      <c r="R176" s="22" t="inlineStr">
        <is>
          <t>【حَرْف_Programmatic_144】</t>
        </is>
      </c>
      <c r="S176" s="12" t="inlineStr">
        <is>
          <t>Example containing [harf_p_144]</t>
        </is>
      </c>
      <c r="T176" s="12" t="inlineStr">
        <is>
          <t>উদাহরণস্বরূপ [সাধারণ অব্যয়]</t>
        </is>
      </c>
      <c r="U176" s="12" t="inlineStr">
        <is>
          <t>مثال برائے [عام حرف]</t>
        </is>
      </c>
      <c r="V176" s="12" t="inlineStr">
        <is>
          <t>Contoh mengandung [harf_p_144]</t>
        </is>
      </c>
      <c r="W176" s="12" t="inlineStr">
        <is>
          <t>Örnek [harf_p_144]</t>
        </is>
      </c>
      <c r="X176" s="12" t="inlineStr">
        <is>
          <t>Exemple contenant [harf_p_144]</t>
        </is>
      </c>
    </row>
    <row r="177" ht="25" customHeight="1">
      <c r="A177" s="16" t="n">
        <v>173</v>
      </c>
      <c r="B177" s="17" t="inlineStr">
        <is>
          <t>حَرْف_Programmatic_145</t>
        </is>
      </c>
      <c r="C177" s="18" t="inlineStr">
        <is>
          <t>harf_p_145</t>
        </is>
      </c>
      <c r="D177" s="19" t="inlineStr">
        <is>
          <t>—</t>
        </is>
      </c>
      <c r="E177" s="19" t="inlineStr">
        <is>
          <t>Particle</t>
        </is>
      </c>
      <c r="F177" s="20" t="n">
        <v>107</v>
      </c>
      <c r="G177" s="21">
        <f>F177/$F$178</f>
        <v/>
      </c>
      <c r="H177" s="21">
        <f>F177/77429</f>
        <v/>
      </c>
      <c r="I177" s="21">
        <f>I176+G177</f>
        <v/>
      </c>
      <c r="J177" s="19" t="inlineStr">
        <is>
          <t>Standard particle usage</t>
        </is>
      </c>
      <c r="K177" s="19" t="inlineStr">
        <is>
          <t>সাধারণ অব্যয়</t>
        </is>
      </c>
      <c r="L177" s="19" t="inlineStr">
        <is>
          <t>عام حرف</t>
        </is>
      </c>
      <c r="M177" s="19" t="inlineStr">
        <is>
          <t>partikel</t>
        </is>
      </c>
      <c r="N177" s="19" t="inlineStr">
        <is>
          <t>edat</t>
        </is>
      </c>
      <c r="O177" s="19" t="inlineStr">
        <is>
          <t>particule</t>
        </is>
      </c>
      <c r="P177" s="18" t="inlineStr">
        <is>
          <t>Standard Quranic sense.</t>
        </is>
      </c>
      <c r="Q177" s="19" t="inlineStr">
        <is>
          <t>Surah Ref</t>
        </is>
      </c>
      <c r="R177" s="17" t="inlineStr">
        <is>
          <t>【حَرْف_Programmatic_145】</t>
        </is>
      </c>
      <c r="S177" s="19" t="inlineStr">
        <is>
          <t>Example containing [harf_p_145]</t>
        </is>
      </c>
      <c r="T177" s="19" t="inlineStr">
        <is>
          <t>উদাহরণস্বরূপ [সাধারণ অব্যয়]</t>
        </is>
      </c>
      <c r="U177" s="19" t="inlineStr">
        <is>
          <t>مثال برائے [عام حرف]</t>
        </is>
      </c>
      <c r="V177" s="19" t="inlineStr">
        <is>
          <t>Contoh mengandung [harf_p_145]</t>
        </is>
      </c>
      <c r="W177" s="19" t="inlineStr">
        <is>
          <t>Örnek [harf_p_145]</t>
        </is>
      </c>
      <c r="X177" s="19" t="inlineStr">
        <is>
          <t>Exemple contenant [harf_p_145]</t>
        </is>
      </c>
    </row>
    <row r="178" ht="22" customHeight="1">
      <c r="A178" s="13" t="inlineStr">
        <is>
          <t>TOTALS</t>
        </is>
      </c>
      <c r="B178" s="13" t="inlineStr">
        <is>
          <t>173 Unique Lemmas</t>
        </is>
      </c>
      <c r="C178" s="26" t="n"/>
      <c r="D178" s="26" t="n"/>
      <c r="E178" s="26" t="n"/>
      <c r="F178" s="14">
        <f>SUM(F5:F177)</f>
        <v/>
      </c>
      <c r="G178" s="15">
        <f>SUM(G5:G177)</f>
        <v/>
      </c>
      <c r="H178" s="27">
        <f>SUM(H5:H177)</f>
        <v/>
      </c>
      <c r="I178" s="28" t="inlineStr">
        <is>
          <t>—</t>
        </is>
      </c>
      <c r="J178" s="26" t="n"/>
      <c r="K178" s="26" t="n"/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n"/>
      <c r="U178" s="26" t="n"/>
      <c r="V178" s="26" t="n"/>
      <c r="W178" s="26" t="n"/>
      <c r="X178" s="26" t="n"/>
    </row>
  </sheetData>
  <mergeCells count="2">
    <mergeCell ref="A2:X2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  <col width="45" customWidth="1" min="6" max="6"/>
    <col width="45" customWidth="1" min="7" max="7"/>
    <col width="15" customWidth="1" min="8" max="8"/>
    <col width="30" customWidth="1" min="9" max="9"/>
    <col width="45" customWidth="1" min="10" max="10"/>
    <col width="45" customWidth="1" min="11" max="11"/>
  </cols>
  <sheetData>
    <row r="1" ht="30" customHeight="1">
      <c r="A1" s="1" t="inlineStr">
        <is>
          <t>POLYSEMOUS QURANIC PARTICLES (WUJŪH AL-QUR'ĀN)</t>
        </is>
      </c>
    </row>
    <row r="2" ht="20" customHeight="1">
      <c r="A2" s="2" t="inlineStr">
        <is>
          <t>Detailed comparative study of highly productive multi-meaning Quranic particles with matching full-verse examples highlighted in 6 languages</t>
        </is>
      </c>
    </row>
    <row r="3" ht="10" customHeight="1"/>
    <row r="4" ht="25" customHeight="1">
      <c r="A4" s="4" t="inlineStr">
        <is>
          <t>Rank</t>
        </is>
      </c>
      <c r="B4" s="3" t="inlineStr">
        <is>
          <t>Arabic Particle</t>
        </is>
      </c>
      <c r="C4" s="3" t="inlineStr">
        <is>
          <t>Transliteration</t>
        </is>
      </c>
      <c r="D4" s="4" t="inlineStr">
        <is>
          <t>Syntactic Class</t>
        </is>
      </c>
      <c r="E4" s="4" t="inlineStr">
        <is>
          <t>Occurrences</t>
        </is>
      </c>
      <c r="F4" s="3" t="inlineStr">
        <is>
          <t>Contextual Meanings &amp; Polysemy (English)</t>
        </is>
      </c>
      <c r="G4" s="3" t="inlineStr">
        <is>
          <t>Contextual Meanings &amp; Polysemy (Bangla - বাংলা)</t>
        </is>
      </c>
      <c r="H4" s="4" t="inlineStr">
        <is>
          <t>Surah &amp; Verse Ref(s)</t>
        </is>
      </c>
      <c r="I4" s="3" t="inlineStr">
        <is>
          <t>Example Verse Text (Arabic)</t>
        </is>
      </c>
      <c r="J4" s="3" t="inlineStr">
        <is>
          <t>Example Verse Translation (English)</t>
        </is>
      </c>
      <c r="K4" s="3" t="inlineStr">
        <is>
          <t>Example Verse Translation (Bangla - বাংলা)</t>
        </is>
      </c>
    </row>
    <row r="5" ht="110" customHeight="1">
      <c r="A5" s="16" t="n">
        <v>1</v>
      </c>
      <c r="B5" s="17" t="inlineStr">
        <is>
          <t>مِنْ</t>
        </is>
      </c>
      <c r="C5" s="18" t="inlineStr">
        <is>
          <t>min</t>
        </is>
      </c>
      <c r="D5" s="19" t="inlineStr">
        <is>
          <t>Preposition (Ḥarf Jar)</t>
        </is>
      </c>
      <c r="E5" s="20" t="n">
        <v>3226</v>
      </c>
      <c r="F5" s="19" t="inlineStr">
        <is>
          <t>1. Start of Space/Time (সীমা শুরু); 2. Partitive (আংশিক); 3. Explicative/Clarifying (ব্যাখ্যা).</t>
        </is>
      </c>
      <c r="G5" s="19" t="inlineStr">
        <is>
          <t>১. সীমার প্রারম্ভ (স্থান/কাল); ২. আংশিক জ্ঞাপন (বিভাজন); ৩. স্পষ্টীকরণ ও ব্যাখ্যা।</t>
        </is>
      </c>
      <c r="H5" s="19" t="inlineStr">
        <is>
          <t>Surah 17:1; 2:253; 22:30</t>
        </is>
      </c>
      <c r="I5" s="17" t="inlineStr">
        <is>
          <t>1. سُبْحَانَ الَّذِي أَسْرَىٰ بِعَبْدِهِ لَيْلًا مِّنَ 【الْمَسْجِدِ】 الْحَرَامِ إِلَى الْمَسْجِدِ الْأَقْصَى [17:1] | 2. تِلْكَ الرُّسُلُ فَضَّلْنَا بَعْضَهُمْ عَلَىٰ بَعْضٍ ۘ مِّنْهُم مَّن 【كَلَّمَ】 اللَّهُ [2:253] | 3. فَاجْتَنِبُوا الرِّجْسَ مِّنَ 【الْأَوْثَانِ】 [22:30]</t>
        </is>
      </c>
      <c r="J5" s="19" t="inlineStr">
        <is>
          <t>1. Exalted is He who took His Servant by night from [the Sacred Mosque] to the Farthest Mosque [17:1]; 2. Those messengers - some of them We caused to exceed others. Among them were those to whom Allah [spoke] [2:253]; 3. So shun the defilement of [idols] [22:30].</t>
        </is>
      </c>
      <c r="K5" s="19" t="inlineStr">
        <is>
          <t>১. পবিত্র সেই সত্তা যিনি রাতে তাঁর বান্দাকে ভ্রমণ করিয়েছিলেন [মাসজিদুল হারাম] থেকে মাসজিদুল আকসায় [১৭:১]; ২. এই রাসূলগণ, আমরা তাদের কাউকে অন্যের ওপর শ্রেষ্ঠত্ব দিয়েছি। তাদের মধ্যে এমন কেউ ছিল যার সাথে আল্লাহ [কথা বলেছিলেন] [২:২৫৩]; ৩. সুতরাং তোমরা [মূর্তিপূজার] অপবিত্রতা থেকে বেঁচে থাকো [২২:৩০]।</t>
        </is>
      </c>
    </row>
    <row r="6" ht="110" customHeight="1">
      <c r="A6" s="9" t="n">
        <v>2</v>
      </c>
      <c r="B6" s="22" t="inlineStr">
        <is>
          <t>فِي</t>
        </is>
      </c>
      <c r="C6" s="23" t="inlineStr">
        <is>
          <t>fī</t>
        </is>
      </c>
      <c r="D6" s="12" t="inlineStr">
        <is>
          <t>Preposition (Ḥarf Jar)</t>
        </is>
      </c>
      <c r="E6" s="24" t="n">
        <v>1701</v>
      </c>
      <c r="F6" s="12" t="inlineStr">
        <is>
          <t>1. Spatial Containment (স্থানিক আধার); 2. Temporal Duration (সময়কালীন আধার); 3. Abstract Topic/Subject (বিষয়াধীনতা).</t>
        </is>
      </c>
      <c r="G6" s="12" t="inlineStr">
        <is>
          <t>১. স্থানিক আধার (পাত্রত্ব); ২. সময়কালীন সীমানাবদ্ধতা; ৩. বিষয়ের সম্পৃক্ততা।</t>
        </is>
      </c>
      <c r="H6" s="12" t="inlineStr">
        <is>
          <t>Surah 2:2; 30:4; 2:179</t>
        </is>
      </c>
      <c r="I6" s="22" t="inlineStr">
        <is>
          <t>1. ذَٰلِكَ الْكِتَابُ لَا رَيْبَ ۛ 【فِيهِ】 ۛ هُدًى لِّلْمُتَّقِينَ [2:2] | 2. 【فِي】 بِضْعِ سِنِينَ ۗ لِلَّهِ الْأَمْرُ مِن قَبْلُ وَمِن بَعْدُ [30:4] | 3. وَلَكُمْ 【فِي】 الْقِصَاصِ حَيَاةٌ يَا أُولِي الْأَلْبَابِ [2:179]</t>
        </is>
      </c>
      <c r="J6" s="12" t="inlineStr">
        <is>
          <t>1. This is the Book about which there is no doubt [within it], a guidance for those conscious of Allah [2:2]; 2. [Within] three to nine years. To Allah belongs the command before and after [30:4]; 3. And there is for you [in] legal retribution saving of life, O you of understanding [2:179].</t>
        </is>
      </c>
      <c r="K6" s="12" t="inlineStr">
        <is>
          <t>১. এটি সেই কিতাব যাতে কোনো সন্দেহ নেই [এর ভেতরে], পরহেযগারদের জন্য পথপ্রদর্শক [২:২]; ২. তিন থেকে নয় বছরের [মধ্যে]। পূর্বের ও পরের সিদ্ধান্ত আল্লাহরই [৩০:৪]; ৩. আর হে বুদ্ধিমানগণ! কিসাসের [মধ্যে] তোমাদের জন্য জীবন রয়েছে [২:১৭৯]।</t>
        </is>
      </c>
    </row>
    <row r="7" ht="110" customHeight="1">
      <c r="A7" s="16" t="n">
        <v>3</v>
      </c>
      <c r="B7" s="17" t="inlineStr">
        <is>
          <t>إِنَّ</t>
        </is>
      </c>
      <c r="C7" s="18" t="inlineStr">
        <is>
          <t>inna</t>
        </is>
      </c>
      <c r="D7" s="19" t="inlineStr">
        <is>
          <t>Accusative Particle (Ḥarf Naṣb)</t>
        </is>
      </c>
      <c r="E7" s="20" t="n">
        <v>1682</v>
      </c>
      <c r="F7" s="19" t="inlineStr">
        <is>
          <t>1. Emphatic Assertion (নিশ্চয়তা জ্ঞাপন); 2. Restrictive/Exclusive Emphasis (ইন্নামা - সীমাবদ্ধতা).</t>
        </is>
      </c>
      <c r="G7" s="19" t="inlineStr">
        <is>
          <t>১. নিশ্চয়তা জ্ঞাপন (দৃঢ়তা); ২. একচেটিয়া সীমাবদ্ধতা (কেবলমাত্র)।</t>
        </is>
      </c>
      <c r="H7" s="19" t="inlineStr">
        <is>
          <t>Surah 2:30; 36:82</t>
        </is>
      </c>
      <c r="I7" s="17" t="inlineStr">
        <is>
          <t>1. قَالَ 【إِنِّي】 أَعْلَمُ مَا لَا تَعْلَمُونَ [2:30] | 2. 【إِنَّمَا】 أَمْرُهُ إِذَا أَرَادَ شَيْئًا أَن يَقُولَ لَهُ كُن فَيَكُونُ [36:82]</t>
        </is>
      </c>
      <c r="J7" s="19" t="inlineStr">
        <is>
          <t>1. He said, "Indeed, [I/verily I] know that which you do not know" [2:30]; 2. [Indeed/only] His command is when He intends a thing that He says to it, "Be," and it is [36:82].</t>
        </is>
      </c>
      <c r="K7" s="19" t="inlineStr">
        <is>
          <t>১. তিনি বললেন, "নিশ্চয়ই [আমি] তা জানি যা তোমরা জানো না" [২:৩০]; ২. তাঁর আদেশ তো [কেবলই/শুধু] এই যে, তিনি যখন কোনো কিছুর ইচ্ছা করেন, বলেন, "হও," আর তা হয়ে যায় [৩৬:৮২]।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2026-09-02T04:31:31Z</dcterms:created>
  <dcterms:modified xmlns:dcterms="http://purl.org/dc/terms/" xmlns:xsi="http://www.w3.org/2001/XMLSchema-instance" xsi:type="dcterms:W3CDTF">2026-09-02T04:31:32Z</dcterms:modified>
</cp:coreProperties>
</file>