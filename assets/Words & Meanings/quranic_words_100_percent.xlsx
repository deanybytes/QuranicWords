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Structure" sheetId="1" state="visible" r:id="rId1"/>
    <sheet xmlns:r="http://schemas.openxmlformats.org/officeDocument/2006/relationships" name="Top High Frequency Lemmas" sheetId="2" state="visible" r:id="rId2"/>
    <sheet xmlns:r="http://schemas.openxmlformats.org/officeDocument/2006/relationships" name="Verb Lemmas" sheetId="3" state="visible" r:id="rId3"/>
    <sheet xmlns:r="http://schemas.openxmlformats.org/officeDocument/2006/relationships" name="Noun Lemmas" sheetId="4" state="visible" r:id="rId4"/>
    <sheet xmlns:r="http://schemas.openxmlformats.org/officeDocument/2006/relationships" name="Fertile Root Families" sheetId="5" state="visible" r:id="rId5"/>
    <sheet xmlns:r="http://schemas.openxmlformats.org/officeDocument/2006/relationships" name="Particles &amp; Pronou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Calibri"/>
      <b val="1"/>
      <color rgb="002F5496"/>
      <sz val="16"/>
    </font>
    <font>
      <name val="Calibri"/>
      <i val="1"/>
      <color rgb="00595959"/>
      <sz val="11"/>
    </font>
    <font>
      <name val="Calibri"/>
      <i val="1"/>
      <color rgb="007F7F7F"/>
      <sz val="10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Traditional Arabic"/>
      <b val="1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D6DCE4"/>
        <bgColor rgb="00D6DCE4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/>
    </xf>
    <xf numFmtId="0" fontId="6" fillId="0" borderId="1" pivotButton="0" quotePrefix="0" xfId="0"/>
    <xf numFmtId="3" fontId="6" fillId="0" borderId="1" applyAlignment="1" pivotButton="0" quotePrefix="0" xfId="0">
      <alignment horizontal="right" vertical="center"/>
    </xf>
    <xf numFmtId="0" fontId="7" fillId="0" borderId="1" pivotButton="0" quotePrefix="0" xfId="0"/>
    <xf numFmtId="164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0" fontId="4" fillId="2" borderId="0" pivotButton="0" quotePrefix="0" xfId="0"/>
    <xf numFmtId="0" fontId="5" fillId="3" borderId="0" pivotButton="0" quotePrefix="0" xfId="0"/>
    <xf numFmtId="0" fontId="0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0" fontId="7" fillId="0" borderId="1" applyAlignment="1" pivotButton="0" quotePrefix="0" xfId="0">
      <alignment horizontal="right" vertical="center"/>
    </xf>
    <xf numFmtId="0" fontId="6" fillId="5" borderId="2" pivotButton="0" quotePrefix="0" xfId="0"/>
    <xf numFmtId="0" fontId="0" fillId="5" borderId="2" pivotButton="0" quotePrefix="0" xfId="0"/>
    <xf numFmtId="3" fontId="6" fillId="5" borderId="2" applyAlignment="1" pivotButton="0" quotePrefix="0" xfId="0">
      <alignment horizontal="right" vertical="center"/>
    </xf>
    <xf numFmtId="164" fontId="6" fillId="5" borderId="2" applyAlignment="1" pivotButton="0" quotePrefix="0" xfId="0">
      <alignment horizontal="right" vertical="center"/>
    </xf>
    <xf numFmtId="3" fontId="6" fillId="4" borderId="1" applyAlignment="1" pivotButton="0" quotePrefix="0" xfId="0">
      <alignment horizontal="center" vertical="center"/>
    </xf>
    <xf numFmtId="165" fontId="6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91" customWidth="1" min="2" max="2"/>
    <col width="34" customWidth="1" min="3" max="3"/>
    <col width="24" customWidth="1" min="4" max="4"/>
    <col width="65" customWidth="1" min="5" max="5"/>
  </cols>
  <sheetData>
    <row r="1">
      <c r="A1" s="1" t="inlineStr">
        <is>
          <t>THE HOLY QURAN - COMPLETE LEXICAL &amp; MORPHOLOGICAL ARCHITECTURE</t>
        </is>
      </c>
    </row>
    <row r="2">
      <c r="A2" s="2" t="inlineStr">
        <is>
          <t>Quantitative Breakdown of 100% Quranic Words, Surface Forms, Lemmas, &amp; Triliteral Roots</t>
        </is>
      </c>
    </row>
    <row r="3">
      <c r="A3" s="3" t="inlineStr">
        <is>
          <t>Source Grounding: Quranic Arabic Corpus, Qabas/SAMA Morphological Databases, &amp; Tanzil Project</t>
        </is>
      </c>
    </row>
    <row r="4"/>
    <row r="5">
      <c r="A5" s="4" t="inlineStr">
        <is>
          <t>1. QUANTITATIVE LEXICAL TIERS SUMMARY (100% CORPUS COVERAGE)</t>
        </is>
      </c>
    </row>
    <row r="6">
      <c r="A6" s="5" t="inlineStr">
        <is>
          <t>Lexical Metric Tier</t>
        </is>
      </c>
      <c r="B6" s="5" t="inlineStr">
        <is>
          <t>Exact Count / Range</t>
        </is>
      </c>
      <c r="C6" s="5" t="inlineStr">
        <is>
          <t>Grammatical Unit / Scope</t>
        </is>
      </c>
      <c r="D6" s="5" t="inlineStr">
        <is>
          <t>% of Running Text</t>
        </is>
      </c>
      <c r="E6" s="5" t="inlineStr">
        <is>
          <t>Linguistic Description</t>
        </is>
      </c>
    </row>
    <row r="7">
      <c r="A7" s="6" t="inlineStr">
        <is>
          <t>Total Running Word Tokens</t>
        </is>
      </c>
      <c r="B7" s="7" t="n">
        <v>77429</v>
      </c>
      <c r="C7" s="8" t="inlineStr">
        <is>
          <t>Whitespace Tokens</t>
        </is>
      </c>
      <c r="D7" s="9" t="n">
        <v>1</v>
      </c>
      <c r="E7" s="8" t="inlineStr">
        <is>
          <t>Total running word occurrences across 114 surahs and 6,236 verses</t>
        </is>
      </c>
    </row>
    <row r="8">
      <c r="A8" s="6" t="inlineStr">
        <is>
          <t>Unique Surface Forms</t>
        </is>
      </c>
      <c r="B8" s="7" t="n">
        <v>19009</v>
      </c>
      <c r="C8" s="8" t="inlineStr">
        <is>
          <t>Orthographic Words</t>
        </is>
      </c>
      <c r="D8" s="10" t="inlineStr">
        <is>
          <t>-</t>
        </is>
      </c>
      <c r="E8" s="8" t="inlineStr">
        <is>
          <t>Distinct word forms including attached prefixes, clitics, and suffixes</t>
        </is>
      </c>
    </row>
    <row r="9">
      <c r="A9" s="6" t="inlineStr">
        <is>
          <t>Total Unique Lemmas</t>
        </is>
      </c>
      <c r="B9" s="7" t="n">
        <v>4616</v>
      </c>
      <c r="C9" s="8" t="inlineStr">
        <is>
          <t>Base Dictionary Headwords</t>
        </is>
      </c>
      <c r="D9" s="9">
        <f>B9/B7</f>
        <v/>
      </c>
      <c r="E9" s="8" t="inlineStr">
        <is>
          <t>Uninflected dictionary headwords (base forms)</t>
        </is>
      </c>
    </row>
    <row r="10">
      <c r="A10" s="8" t="inlineStr">
        <is>
          <t>├— Noun &amp; Nominal Lemmas</t>
        </is>
      </c>
      <c r="B10" s="7" t="n">
        <v>3057</v>
      </c>
      <c r="C10" s="8" t="inlineStr">
        <is>
          <t>Nouns, Adjectives, Proper Names</t>
        </is>
      </c>
      <c r="D10" s="9">
        <f>B10/B7</f>
        <v/>
      </c>
      <c r="E10" s="8" t="inlineStr">
        <is>
          <t>Subsumes nouns, adjectives, adverbs, and proper names</t>
        </is>
      </c>
    </row>
    <row r="11">
      <c r="A11" s="8" t="inlineStr">
        <is>
          <t>├— Verb Lemmas</t>
        </is>
      </c>
      <c r="B11" s="7" t="n">
        <v>1479</v>
      </c>
      <c r="C11" s="8" t="inlineStr">
        <is>
          <t>Verbal Stems (Forms I - X)</t>
        </is>
      </c>
      <c r="D11" s="9">
        <f>B11/B7</f>
        <v/>
      </c>
      <c r="E11" s="8" t="inlineStr">
        <is>
          <t>Verbal stems across 10 classical derived forms</t>
        </is>
      </c>
    </row>
    <row r="12">
      <c r="A12" s="8" t="inlineStr">
        <is>
          <t>└— Functional / Particle Lemmas</t>
        </is>
      </c>
      <c r="B12" s="7" t="n">
        <v>173</v>
      </c>
      <c r="C12" s="8" t="inlineStr">
        <is>
          <t>Closed-Class Particles</t>
        </is>
      </c>
      <c r="D12" s="9">
        <f>B12/B7</f>
        <v/>
      </c>
      <c r="E12" s="8" t="inlineStr">
        <is>
          <t>Prepositions, conjunctions, pronouns, and accusative particles</t>
        </is>
      </c>
    </row>
    <row r="13">
      <c r="A13" s="6" t="inlineStr">
        <is>
          <t>Unique Consonantal Roots</t>
        </is>
      </c>
      <c r="B13" s="7" t="n">
        <v>1685</v>
      </c>
      <c r="C13" s="8" t="inlineStr">
        <is>
          <t>Triliteral Roots (Jadhr)</t>
        </is>
      </c>
      <c r="D13" s="10" t="inlineStr">
        <is>
          <t>-</t>
        </is>
      </c>
      <c r="E13" s="8" t="inlineStr">
        <is>
          <t>Core 3-letter semantic generators (range: 1,642 to 1,790 roots)</t>
        </is>
      </c>
    </row>
    <row r="14"/>
    <row r="15"/>
    <row r="16">
      <c r="A16" s="4" t="inlineStr">
        <is>
          <t>2. ZIPFIAN FREQUENCY DISTRIBUTION &amp; COMPREHENSION MILESTONES (PARETO PRINCIPLE)</t>
        </is>
      </c>
    </row>
    <row r="17">
      <c r="A17" s="5" t="inlineStr">
        <is>
          <t>Vocabulary Milestone</t>
        </is>
      </c>
      <c r="B17" s="5" t="inlineStr">
        <is>
          <t>Unique Words / Lemmas</t>
        </is>
      </c>
      <c r="C17" s="5" t="inlineStr">
        <is>
          <t>Cumulative Tokens Covered</t>
        </is>
      </c>
      <c r="D17" s="5" t="inlineStr">
        <is>
          <t>Quran Comprehension %</t>
        </is>
      </c>
      <c r="E17" s="5" t="inlineStr">
        <is>
          <t>Pedagogical Focus &amp; Description</t>
        </is>
      </c>
    </row>
    <row r="18">
      <c r="A18" s="6" t="inlineStr">
        <is>
          <t>Particles &amp; Pronouns Only</t>
        </is>
      </c>
      <c r="B18" s="11" t="n">
        <v>50</v>
      </c>
      <c r="C18" s="11" t="n">
        <v>15500</v>
      </c>
      <c r="D18" s="12">
        <f>C18/B7</f>
        <v/>
      </c>
      <c r="E18" s="8" t="inlineStr">
        <is>
          <t>Structural skeleton (prepositions, pronouns, conjunctions)</t>
        </is>
      </c>
    </row>
    <row r="19">
      <c r="A19" s="6" t="inlineStr">
        <is>
          <t>Top 10 Unique Words</t>
        </is>
      </c>
      <c r="B19" s="11" t="n">
        <v>10</v>
      </c>
      <c r="C19" s="11" t="n">
        <v>19350</v>
      </c>
      <c r="D19" s="12">
        <f>C19/B7</f>
        <v/>
      </c>
      <c r="E19" s="8" t="inlineStr">
        <is>
          <t>Ultra-high frequency words (Allah, Lord, qala, man, inna, etc.)</t>
        </is>
      </c>
    </row>
    <row r="20">
      <c r="A20" s="6" t="inlineStr">
        <is>
          <t>Top 50 Core Words</t>
        </is>
      </c>
      <c r="B20" s="11" t="n">
        <v>50</v>
      </c>
      <c r="C20" s="11" t="n">
        <v>38700</v>
      </c>
      <c r="D20" s="12">
        <f>C20/B7</f>
        <v/>
      </c>
      <c r="E20" s="8" t="inlineStr">
        <is>
          <t>Core vocabulary unlocking half of the entire Quranic text</t>
        </is>
      </c>
    </row>
    <row r="21">
      <c r="A21" s="6" t="inlineStr">
        <is>
          <t>Top 100 Common Words</t>
        </is>
      </c>
      <c r="B21" s="11" t="n">
        <v>100</v>
      </c>
      <c r="C21" s="11" t="n">
        <v>46450</v>
      </c>
      <c r="D21" s="12">
        <f>C21/B7</f>
        <v/>
      </c>
      <c r="E21" s="8" t="inlineStr">
        <is>
          <t>Extended core vocabulary covering 60% of all running words</t>
        </is>
      </c>
    </row>
    <row r="22">
      <c r="A22" s="6" t="inlineStr">
        <is>
          <t>Top 300 - 500 Root Families</t>
        </is>
      </c>
      <c r="B22" s="11" t="n">
        <v>500</v>
      </c>
      <c r="C22" s="11" t="n">
        <v>65800</v>
      </c>
      <c r="D22" s="12">
        <f>C22/B7</f>
        <v/>
      </c>
      <c r="E22" s="8" t="inlineStr">
        <is>
          <t>Complete 80/20 vocabulary target unlocking 85% of comprehension</t>
        </is>
      </c>
    </row>
    <row r="23">
      <c r="A23" s="6" t="inlineStr">
        <is>
          <t>Full Vocabulary Mastery</t>
        </is>
      </c>
      <c r="B23" s="11" t="n">
        <v>4616</v>
      </c>
      <c r="C23" s="11" t="n">
        <v>77429</v>
      </c>
      <c r="D23" s="12">
        <f>C23/B7</f>
        <v/>
      </c>
      <c r="E23" s="8" t="inlineStr">
        <is>
          <t>100% complete Quranic vocabulary across all 114 Surahs</t>
        </is>
      </c>
    </row>
    <row r="24"/>
    <row r="25"/>
    <row r="26">
      <c r="A26" s="13" t="inlineStr">
        <is>
          <t>3. WORKBOOK TAB NAVIGATION GUIDE</t>
        </is>
      </c>
    </row>
    <row r="27">
      <c r="A27" s="14" t="inlineStr">
        <is>
          <t>Tab Name</t>
        </is>
      </c>
      <c r="B27" s="14" t="inlineStr">
        <is>
          <t>Contents &amp; Scope</t>
        </is>
      </c>
    </row>
    <row r="28">
      <c r="A28" s="6" t="inlineStr">
        <is>
          <t>Top High Frequency Lemmas</t>
        </is>
      </c>
      <c r="B28" s="8" t="inlineStr">
        <is>
          <t>Complete dataset of the top 100+ most repeated Quranic words with frequency &amp; coverage %</t>
        </is>
      </c>
      <c r="C28" s="15" t="n"/>
      <c r="D28" s="15" t="n"/>
      <c r="E28" s="15" t="n"/>
    </row>
    <row r="29">
      <c r="A29" s="6" t="inlineStr">
        <is>
          <t>Verb Lemmas</t>
        </is>
      </c>
      <c r="B29" s="8" t="inlineStr">
        <is>
          <t>Comprehensive ranking of the top Quranic verbs (Form I - X) with roots &amp; occurrences</t>
        </is>
      </c>
      <c r="C29" s="15" t="n"/>
      <c r="D29" s="15" t="n"/>
      <c r="E29" s="15" t="n"/>
    </row>
    <row r="30">
      <c r="A30" s="6" t="inlineStr">
        <is>
          <t>Noun Lemmas</t>
        </is>
      </c>
      <c r="B30" s="8" t="inlineStr">
        <is>
          <t>Catalog of top noun &amp; nominal lemmas (nouns, proper nouns, adjectives)</t>
        </is>
      </c>
      <c r="C30" s="15" t="n"/>
      <c r="D30" s="15" t="n"/>
      <c r="E30" s="15" t="n"/>
    </row>
    <row r="31">
      <c r="A31" s="6" t="inlineStr">
        <is>
          <t>Fertile Root Families</t>
        </is>
      </c>
      <c r="B31" s="8" t="inlineStr">
        <is>
          <t>Analysis of the 26 hyper-productive roots generating over 10 derived forms each</t>
        </is>
      </c>
      <c r="C31" s="15" t="n"/>
      <c r="D31" s="15" t="n"/>
      <c r="E31" s="15" t="n"/>
    </row>
    <row r="32">
      <c r="A32" s="6" t="inlineStr">
        <is>
          <t>Particles &amp; Pronouns</t>
        </is>
      </c>
      <c r="B32" s="8" t="inlineStr">
        <is>
          <t>Closed-class structural words (prepositions, conjunctions, pronouns, adverbs)</t>
        </is>
      </c>
      <c r="C32" s="15" t="n"/>
      <c r="D32" s="15" t="n"/>
      <c r="E32" s="15" t="n"/>
    </row>
  </sheetData>
  <mergeCells count="9">
    <mergeCell ref="B31:E31"/>
    <mergeCell ref="B27:E27"/>
    <mergeCell ref="A26:E26"/>
    <mergeCell ref="A16:E16"/>
    <mergeCell ref="B30:E30"/>
    <mergeCell ref="B29:E29"/>
    <mergeCell ref="A5:E5"/>
    <mergeCell ref="B28:E28"/>
    <mergeCell ref="B32:E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5"/>
  <sheetViews>
    <sheetView showGridLines="1" workbookViewId="0">
      <selection activeCell="A1" sqref="A1"/>
    </sheetView>
  </sheetViews>
  <sheetFormatPr baseColWidth="8" defaultRowHeight="15"/>
  <cols>
    <col width="86" customWidth="1" min="1" max="1"/>
    <col width="20" customWidth="1" min="2" max="2"/>
    <col width="18" customWidth="1" min="3" max="3"/>
    <col width="30" customWidth="1" min="4" max="4"/>
    <col width="18" customWidth="1" min="5" max="5"/>
    <col width="20" customWidth="1" min="6" max="6"/>
    <col width="23" customWidth="1" min="7" max="7"/>
    <col width="24" customWidth="1" min="8" max="8"/>
    <col width="38" customWidth="1" min="9" max="9"/>
  </cols>
  <sheetData>
    <row r="1">
      <c r="A1" s="1" t="inlineStr">
        <is>
          <t>100 MOST COMMON QURANIC ARABIC WORDS &amp; LEMMAS</t>
        </is>
      </c>
    </row>
    <row r="2">
      <c r="A2" s="2" t="inlineStr">
        <is>
          <t>Frequency, Triliteral Root, Part-of-Speech, Meaning, and Cumulative Corpus Coverage</t>
        </is>
      </c>
    </row>
    <row r="3"/>
    <row r="4">
      <c r="A4" s="5" t="inlineStr">
        <is>
          <t>Rank</t>
        </is>
      </c>
      <c r="B4" s="5" t="inlineStr">
        <is>
          <t>Arabic Word / Lemma</t>
        </is>
      </c>
      <c r="C4" s="5" t="inlineStr">
        <is>
          <t>Transliteration</t>
        </is>
      </c>
      <c r="D4" s="5" t="inlineStr">
        <is>
          <t>Part of Speech</t>
        </is>
      </c>
      <c r="E4" s="5" t="inlineStr">
        <is>
          <t>Triliteral Root</t>
        </is>
      </c>
      <c r="F4" s="5" t="inlineStr">
        <is>
          <t>Exact Occurrences</t>
        </is>
      </c>
      <c r="G4" s="5" t="inlineStr">
        <is>
          <t>% of Corpus (77,429)</t>
        </is>
      </c>
      <c r="H4" s="5" t="inlineStr">
        <is>
          <t>Cumulative Coverage %</t>
        </is>
      </c>
      <c r="I4" s="5" t="inlineStr">
        <is>
          <t>Core English Meaning</t>
        </is>
      </c>
    </row>
    <row r="5">
      <c r="A5" s="16" t="n">
        <v>1</v>
      </c>
      <c r="B5" s="17" t="inlineStr">
        <is>
          <t>مِن</t>
        </is>
      </c>
      <c r="C5" s="8" t="inlineStr">
        <is>
          <t>min</t>
        </is>
      </c>
      <c r="D5" s="8" t="inlineStr">
        <is>
          <t>Preposition</t>
        </is>
      </c>
      <c r="E5" s="18" t="inlineStr">
        <is>
          <t>—</t>
        </is>
      </c>
      <c r="F5" s="7" t="n">
        <v>3226</v>
      </c>
      <c r="G5" s="19">
        <f>F5/77429</f>
        <v/>
      </c>
      <c r="H5" s="12">
        <f>SUM(F$5:F5)/77429</f>
        <v/>
      </c>
      <c r="I5" s="8" t="inlineStr">
        <is>
          <t>from / out of</t>
        </is>
      </c>
    </row>
    <row r="6">
      <c r="A6" s="16" t="n">
        <v>2</v>
      </c>
      <c r="B6" s="17" t="inlineStr">
        <is>
          <t>اللَّه</t>
        </is>
      </c>
      <c r="C6" s="8" t="inlineStr">
        <is>
          <t>Allāh</t>
        </is>
      </c>
      <c r="D6" s="8" t="inlineStr">
        <is>
          <t>Proper Noun</t>
        </is>
      </c>
      <c r="E6" s="16" t="inlineStr">
        <is>
          <t>أ-ل-ه</t>
        </is>
      </c>
      <c r="F6" s="7" t="n">
        <v>2699</v>
      </c>
      <c r="G6" s="19">
        <f>F6/77429</f>
        <v/>
      </c>
      <c r="H6" s="12">
        <f>SUM(F$5:F6)/77429</f>
        <v/>
      </c>
      <c r="I6" s="8" t="inlineStr">
        <is>
          <t>God (The Supreme Divine Name)</t>
        </is>
      </c>
    </row>
    <row r="7">
      <c r="A7" s="16" t="n">
        <v>3</v>
      </c>
      <c r="B7" s="17" t="inlineStr">
        <is>
          <t>فِي</t>
        </is>
      </c>
      <c r="C7" s="8" t="inlineStr">
        <is>
          <t>fī</t>
        </is>
      </c>
      <c r="D7" s="8" t="inlineStr">
        <is>
          <t>Preposition</t>
        </is>
      </c>
      <c r="E7" s="18" t="inlineStr">
        <is>
          <t>—</t>
        </is>
      </c>
      <c r="F7" s="7" t="n">
        <v>1701</v>
      </c>
      <c r="G7" s="19">
        <f>F7/77429</f>
        <v/>
      </c>
      <c r="H7" s="12">
        <f>SUM(F$5:F7)/77429</f>
        <v/>
      </c>
      <c r="I7" s="8" t="inlineStr">
        <is>
          <t>in / within / inside</t>
        </is>
      </c>
    </row>
    <row r="8">
      <c r="A8" s="16" t="n">
        <v>4</v>
      </c>
      <c r="B8" s="17" t="inlineStr">
        <is>
          <t>إِنَّ</t>
        </is>
      </c>
      <c r="C8" s="8" t="inlineStr">
        <is>
          <t>inna</t>
        </is>
      </c>
      <c r="D8" s="8" t="inlineStr">
        <is>
          <t>Accusative Particle</t>
        </is>
      </c>
      <c r="E8" s="18" t="inlineStr">
        <is>
          <t>—</t>
        </is>
      </c>
      <c r="F8" s="7" t="n">
        <v>1682</v>
      </c>
      <c r="G8" s="19">
        <f>F8/77429</f>
        <v/>
      </c>
      <c r="H8" s="12">
        <f>SUM(F$5:F8)/77429</f>
        <v/>
      </c>
      <c r="I8" s="8" t="inlineStr">
        <is>
          <t>indeed / verily / truly</t>
        </is>
      </c>
    </row>
    <row r="9">
      <c r="A9" s="16" t="n">
        <v>5</v>
      </c>
      <c r="B9" s="17" t="inlineStr">
        <is>
          <t>قَالَ</t>
        </is>
      </c>
      <c r="C9" s="8" t="inlineStr">
        <is>
          <t>qāla</t>
        </is>
      </c>
      <c r="D9" s="8" t="inlineStr">
        <is>
          <t>Verb (Form I)</t>
        </is>
      </c>
      <c r="E9" s="16" t="inlineStr">
        <is>
          <t>ق-و-ل</t>
        </is>
      </c>
      <c r="F9" s="7" t="n">
        <v>1618</v>
      </c>
      <c r="G9" s="19">
        <f>F9/77429</f>
        <v/>
      </c>
      <c r="H9" s="12">
        <f>SUM(F$5:F9)/77429</f>
        <v/>
      </c>
      <c r="I9" s="8" t="inlineStr">
        <is>
          <t>to say / speak / address</t>
        </is>
      </c>
    </row>
    <row r="10">
      <c r="A10" s="16" t="n">
        <v>6</v>
      </c>
      <c r="B10" s="17" t="inlineStr">
        <is>
          <t>عَلَى</t>
        </is>
      </c>
      <c r="C10" s="8" t="inlineStr">
        <is>
          <t>ʿalā</t>
        </is>
      </c>
      <c r="D10" s="8" t="inlineStr">
        <is>
          <t>Preposition</t>
        </is>
      </c>
      <c r="E10" s="18" t="inlineStr">
        <is>
          <t>—</t>
        </is>
      </c>
      <c r="F10" s="7" t="n">
        <v>1445</v>
      </c>
      <c r="G10" s="19">
        <f>F10/77429</f>
        <v/>
      </c>
      <c r="H10" s="12">
        <f>SUM(F$5:F10)/77429</f>
        <v/>
      </c>
      <c r="I10" s="8" t="inlineStr">
        <is>
          <t>upon / on / against</t>
        </is>
      </c>
    </row>
    <row r="11">
      <c r="A11" s="16" t="n">
        <v>7</v>
      </c>
      <c r="B11" s="17" t="inlineStr">
        <is>
          <t>الَّذِي</t>
        </is>
      </c>
      <c r="C11" s="8" t="inlineStr">
        <is>
          <t>alladhī</t>
        </is>
      </c>
      <c r="D11" s="8" t="inlineStr">
        <is>
          <t>Relative Pronoun</t>
        </is>
      </c>
      <c r="E11" s="18" t="inlineStr">
        <is>
          <t>—</t>
        </is>
      </c>
      <c r="F11" s="7" t="n">
        <v>1442</v>
      </c>
      <c r="G11" s="19">
        <f>F11/77429</f>
        <v/>
      </c>
      <c r="H11" s="12">
        <f>SUM(F$5:F11)/77429</f>
        <v/>
      </c>
      <c r="I11" s="8" t="inlineStr">
        <is>
          <t>who / which / that (masc. sg.)</t>
        </is>
      </c>
    </row>
    <row r="12">
      <c r="A12" s="16" t="n">
        <v>8</v>
      </c>
      <c r="B12" s="17" t="inlineStr">
        <is>
          <t>لَا</t>
        </is>
      </c>
      <c r="C12" s="8" t="inlineStr">
        <is>
          <t>lā</t>
        </is>
      </c>
      <c r="D12" s="8" t="inlineStr">
        <is>
          <t>Negative Particle</t>
        </is>
      </c>
      <c r="E12" s="18" t="inlineStr">
        <is>
          <t>—</t>
        </is>
      </c>
      <c r="F12" s="7" t="n">
        <v>1364</v>
      </c>
      <c r="G12" s="19">
        <f>F12/77429</f>
        <v/>
      </c>
      <c r="H12" s="12">
        <f>SUM(F$5:F12)/77429</f>
        <v/>
      </c>
      <c r="I12" s="8" t="inlineStr">
        <is>
          <t>no / not / do not</t>
        </is>
      </c>
    </row>
    <row r="13">
      <c r="A13" s="16" t="n">
        <v>9</v>
      </c>
      <c r="B13" s="17" t="inlineStr">
        <is>
          <t>كَانَ</t>
        </is>
      </c>
      <c r="C13" s="8" t="inlineStr">
        <is>
          <t>kāna</t>
        </is>
      </c>
      <c r="D13" s="8" t="inlineStr">
        <is>
          <t>Verb (Form I)</t>
        </is>
      </c>
      <c r="E13" s="16" t="inlineStr">
        <is>
          <t>ك-و-ن</t>
        </is>
      </c>
      <c r="F13" s="7" t="n">
        <v>1358</v>
      </c>
      <c r="G13" s="19">
        <f>F13/77429</f>
        <v/>
      </c>
      <c r="H13" s="12">
        <f>SUM(F$5:F13)/77429</f>
        <v/>
      </c>
      <c r="I13" s="8" t="inlineStr">
        <is>
          <t>to be / was / exist</t>
        </is>
      </c>
    </row>
    <row r="14">
      <c r="A14" s="16" t="n">
        <v>10</v>
      </c>
      <c r="B14" s="17" t="inlineStr">
        <is>
          <t>مَا</t>
        </is>
      </c>
      <c r="C14" s="8" t="inlineStr">
        <is>
          <t>mā</t>
        </is>
      </c>
      <c r="D14" s="8" t="inlineStr">
        <is>
          <t>Relative Pronoun / Negative</t>
        </is>
      </c>
      <c r="E14" s="18" t="inlineStr">
        <is>
          <t>—</t>
        </is>
      </c>
      <c r="F14" s="7" t="n">
        <v>1266</v>
      </c>
      <c r="G14" s="19">
        <f>F14/77429</f>
        <v/>
      </c>
      <c r="H14" s="12">
        <f>SUM(F$5:F14)/77429</f>
        <v/>
      </c>
      <c r="I14" s="8" t="inlineStr">
        <is>
          <t>what / that which / not</t>
        </is>
      </c>
    </row>
    <row r="15">
      <c r="A15" s="16" t="n">
        <v>11</v>
      </c>
      <c r="B15" s="17" t="inlineStr">
        <is>
          <t>رَبّ</t>
        </is>
      </c>
      <c r="C15" s="8" t="inlineStr">
        <is>
          <t>rabb</t>
        </is>
      </c>
      <c r="D15" s="8" t="inlineStr">
        <is>
          <t>Noun</t>
        </is>
      </c>
      <c r="E15" s="16" t="inlineStr">
        <is>
          <t>ر-ب-ب</t>
        </is>
      </c>
      <c r="F15" s="7" t="n">
        <v>975</v>
      </c>
      <c r="G15" s="19">
        <f>F15/77429</f>
        <v/>
      </c>
      <c r="H15" s="12">
        <f>SUM(F$5:F15)/77429</f>
        <v/>
      </c>
      <c r="I15" s="8" t="inlineStr">
        <is>
          <t>Lord / Sustainer / Master</t>
        </is>
      </c>
    </row>
    <row r="16">
      <c r="A16" s="16" t="n">
        <v>12</v>
      </c>
      <c r="B16" s="17" t="inlineStr">
        <is>
          <t>إِلَى</t>
        </is>
      </c>
      <c r="C16" s="8" t="inlineStr">
        <is>
          <t>ilā</t>
        </is>
      </c>
      <c r="D16" s="8" t="inlineStr">
        <is>
          <t>Preposition</t>
        </is>
      </c>
      <c r="E16" s="18" t="inlineStr">
        <is>
          <t>—</t>
        </is>
      </c>
      <c r="F16" s="7" t="n">
        <v>742</v>
      </c>
      <c r="G16" s="19">
        <f>F16/77429</f>
        <v/>
      </c>
      <c r="H16" s="12">
        <f>SUM(F$5:F16)/77429</f>
        <v/>
      </c>
      <c r="I16" s="8" t="inlineStr">
        <is>
          <t>to / toward / until</t>
        </is>
      </c>
    </row>
    <row r="17">
      <c r="A17" s="16" t="n">
        <v>13</v>
      </c>
      <c r="B17" s="17" t="inlineStr">
        <is>
          <t>مَا</t>
        </is>
      </c>
      <c r="C17" s="8" t="inlineStr">
        <is>
          <t>mā (neg)</t>
        </is>
      </c>
      <c r="D17" s="8" t="inlineStr">
        <is>
          <t>Negative Particle</t>
        </is>
      </c>
      <c r="E17" s="18" t="inlineStr">
        <is>
          <t>—</t>
        </is>
      </c>
      <c r="F17" s="7" t="n">
        <v>704</v>
      </c>
      <c r="G17" s="19">
        <f>F17/77429</f>
        <v/>
      </c>
      <c r="H17" s="12">
        <f>SUM(F$5:F17)/77429</f>
        <v/>
      </c>
      <c r="I17" s="8" t="inlineStr">
        <is>
          <t>not / no</t>
        </is>
      </c>
    </row>
    <row r="18">
      <c r="A18" s="16" t="n">
        <v>14</v>
      </c>
      <c r="B18" s="17" t="inlineStr">
        <is>
          <t>مَن</t>
        </is>
      </c>
      <c r="C18" s="8" t="inlineStr">
        <is>
          <t>man</t>
        </is>
      </c>
      <c r="D18" s="8" t="inlineStr">
        <is>
          <t>Relative Pronoun</t>
        </is>
      </c>
      <c r="E18" s="18" t="inlineStr">
        <is>
          <t>—</t>
        </is>
      </c>
      <c r="F18" s="7" t="n">
        <v>606</v>
      </c>
      <c r="G18" s="19">
        <f>F18/77429</f>
        <v/>
      </c>
      <c r="H18" s="12">
        <f>SUM(F$5:F18)/77429</f>
        <v/>
      </c>
      <c r="I18" s="8" t="inlineStr">
        <is>
          <t>who / whoever / he who</t>
        </is>
      </c>
    </row>
    <row r="19">
      <c r="A19" s="16" t="n">
        <v>15</v>
      </c>
      <c r="B19" s="17" t="inlineStr">
        <is>
          <t>إِن</t>
        </is>
      </c>
      <c r="C19" s="8" t="inlineStr">
        <is>
          <t>in</t>
        </is>
      </c>
      <c r="D19" s="8" t="inlineStr">
        <is>
          <t>Conditional Particle</t>
        </is>
      </c>
      <c r="E19" s="18" t="inlineStr">
        <is>
          <t>—</t>
        </is>
      </c>
      <c r="F19" s="7" t="n">
        <v>578</v>
      </c>
      <c r="G19" s="19">
        <f>F19/77429</f>
        <v/>
      </c>
      <c r="H19" s="12">
        <f>SUM(F$5:F19)/77429</f>
        <v/>
      </c>
      <c r="I19" s="8" t="inlineStr">
        <is>
          <t>if / in case</t>
        </is>
      </c>
    </row>
    <row r="20">
      <c r="A20" s="16" t="n">
        <v>16</v>
      </c>
      <c r="B20" s="17" t="inlineStr">
        <is>
          <t>أَنْ</t>
        </is>
      </c>
      <c r="C20" s="8" t="inlineStr">
        <is>
          <t>ʿan</t>
        </is>
      </c>
      <c r="D20" s="8" t="inlineStr">
        <is>
          <t>Subordinating Conjunction</t>
        </is>
      </c>
      <c r="E20" s="18" t="inlineStr">
        <is>
          <t>—</t>
        </is>
      </c>
      <c r="F20" s="7" t="n">
        <v>578</v>
      </c>
      <c r="G20" s="19">
        <f>F20/77429</f>
        <v/>
      </c>
      <c r="H20" s="12">
        <f>SUM(F$5:F20)/77429</f>
        <v/>
      </c>
      <c r="I20" s="8" t="inlineStr">
        <is>
          <t>that / to</t>
        </is>
      </c>
    </row>
    <row r="21">
      <c r="A21" s="16" t="n">
        <v>17</v>
      </c>
      <c r="B21" s="17" t="inlineStr">
        <is>
          <t>إِلَّا</t>
        </is>
      </c>
      <c r="C21" s="8" t="inlineStr">
        <is>
          <t>illā</t>
        </is>
      </c>
      <c r="D21" s="8" t="inlineStr">
        <is>
          <t>Restriction Particle</t>
        </is>
      </c>
      <c r="E21" s="18" t="inlineStr">
        <is>
          <t>—</t>
        </is>
      </c>
      <c r="F21" s="7" t="n">
        <v>558</v>
      </c>
      <c r="G21" s="19">
        <f>F21/77429</f>
        <v/>
      </c>
      <c r="H21" s="12">
        <f>SUM(F$5:F21)/77429</f>
        <v/>
      </c>
      <c r="I21" s="8" t="inlineStr">
        <is>
          <t>except / unless / save</t>
        </is>
      </c>
    </row>
    <row r="22">
      <c r="A22" s="16" t="n">
        <v>18</v>
      </c>
      <c r="B22" s="17" t="inlineStr">
        <is>
          <t>آمَنَ</t>
        </is>
      </c>
      <c r="C22" s="8" t="inlineStr">
        <is>
          <t>āmana</t>
        </is>
      </c>
      <c r="D22" s="8" t="inlineStr">
        <is>
          <t>Verb (Form IV)</t>
        </is>
      </c>
      <c r="E22" s="16" t="inlineStr">
        <is>
          <t>أ-م-ن</t>
        </is>
      </c>
      <c r="F22" s="7" t="n">
        <v>537</v>
      </c>
      <c r="G22" s="19">
        <f>F22/77429</f>
        <v/>
      </c>
      <c r="H22" s="12">
        <f>SUM(F$5:F22)/77429</f>
        <v/>
      </c>
      <c r="I22" s="8" t="inlineStr">
        <is>
          <t>to believe / have faith</t>
        </is>
      </c>
    </row>
    <row r="23">
      <c r="A23" s="16" t="n">
        <v>19</v>
      </c>
      <c r="B23" s="17" t="inlineStr">
        <is>
          <t>ذَٰلِك</t>
        </is>
      </c>
      <c r="C23" s="8" t="inlineStr">
        <is>
          <t>dhālik</t>
        </is>
      </c>
      <c r="D23" s="8" t="inlineStr">
        <is>
          <t>Demonstrative Pronoun</t>
        </is>
      </c>
      <c r="E23" s="18" t="inlineStr">
        <is>
          <t>—</t>
        </is>
      </c>
      <c r="F23" s="7" t="n">
        <v>520</v>
      </c>
      <c r="G23" s="19">
        <f>F23/77429</f>
        <v/>
      </c>
      <c r="H23" s="12">
        <f>SUM(F$5:F23)/77429</f>
        <v/>
      </c>
      <c r="I23" s="8" t="inlineStr">
        <is>
          <t>that (masculine singular)</t>
        </is>
      </c>
    </row>
    <row r="24">
      <c r="A24" s="16" t="n">
        <v>20</v>
      </c>
      <c r="B24" s="17" t="inlineStr">
        <is>
          <t>عَنْ</t>
        </is>
      </c>
      <c r="C24" s="8" t="inlineStr">
        <is>
          <t>ʿan</t>
        </is>
      </c>
      <c r="D24" s="8" t="inlineStr">
        <is>
          <t>Preposition</t>
        </is>
      </c>
      <c r="E24" s="18" t="inlineStr">
        <is>
          <t>—</t>
        </is>
      </c>
      <c r="F24" s="7" t="n">
        <v>465</v>
      </c>
      <c r="G24" s="19">
        <f>F24/77429</f>
        <v/>
      </c>
      <c r="H24" s="12">
        <f>SUM(F$5:F24)/77429</f>
        <v/>
      </c>
      <c r="I24" s="8" t="inlineStr">
        <is>
          <t>from / away from / about</t>
        </is>
      </c>
    </row>
    <row r="25">
      <c r="A25" s="16" t="n">
        <v>21</v>
      </c>
      <c r="B25" s="17" t="inlineStr">
        <is>
          <t>أَرْض</t>
        </is>
      </c>
      <c r="C25" s="8" t="inlineStr">
        <is>
          <t>arḍ</t>
        </is>
      </c>
      <c r="D25" s="8" t="inlineStr">
        <is>
          <t>Noun</t>
        </is>
      </c>
      <c r="E25" s="16" t="inlineStr">
        <is>
          <t>أ-ر-ض</t>
        </is>
      </c>
      <c r="F25" s="7" t="n">
        <v>461</v>
      </c>
      <c r="G25" s="19">
        <f>F25/77429</f>
        <v/>
      </c>
      <c r="H25" s="12">
        <f>SUM(F$5:F25)/77429</f>
        <v/>
      </c>
      <c r="I25" s="8" t="inlineStr">
        <is>
          <t>earth / land / ground</t>
        </is>
      </c>
    </row>
    <row r="26">
      <c r="A26" s="16" t="n">
        <v>22</v>
      </c>
      <c r="B26" s="17" t="inlineStr">
        <is>
          <t>قَد</t>
        </is>
      </c>
      <c r="C26" s="8" t="inlineStr">
        <is>
          <t>qad</t>
        </is>
      </c>
      <c r="D26" s="8" t="inlineStr">
        <is>
          <t>Particle of Certainty</t>
        </is>
      </c>
      <c r="E26" s="18" t="inlineStr">
        <is>
          <t>—</t>
        </is>
      </c>
      <c r="F26" s="7" t="n">
        <v>406</v>
      </c>
      <c r="G26" s="19">
        <f>F26/77429</f>
        <v/>
      </c>
      <c r="H26" s="12">
        <f>SUM(F$5:F26)/77429</f>
        <v/>
      </c>
      <c r="I26" s="8" t="inlineStr">
        <is>
          <t>already / indeed / surely</t>
        </is>
      </c>
    </row>
    <row r="27">
      <c r="A27" s="16" t="n">
        <v>23</v>
      </c>
      <c r="B27" s="17" t="inlineStr">
        <is>
          <t>إِذَا</t>
        </is>
      </c>
      <c r="C27" s="8" t="inlineStr">
        <is>
          <t>idhā</t>
        </is>
      </c>
      <c r="D27" s="8" t="inlineStr">
        <is>
          <t>Time Adverb / Cond.</t>
        </is>
      </c>
      <c r="E27" s="18" t="inlineStr">
        <is>
          <t>—</t>
        </is>
      </c>
      <c r="F27" s="7" t="n">
        <v>405</v>
      </c>
      <c r="G27" s="19">
        <f>F27/77429</f>
        <v/>
      </c>
      <c r="H27" s="12">
        <f>SUM(F$5:F27)/77429</f>
        <v/>
      </c>
      <c r="I27" s="8" t="inlineStr">
        <is>
          <t>when / whenever / if</t>
        </is>
      </c>
    </row>
    <row r="28">
      <c r="A28" s="16" t="n">
        <v>24</v>
      </c>
      <c r="B28" s="17" t="inlineStr">
        <is>
          <t>قَوْم</t>
        </is>
      </c>
      <c r="C28" s="8" t="inlineStr">
        <is>
          <t>qawm</t>
        </is>
      </c>
      <c r="D28" s="8" t="inlineStr">
        <is>
          <t>Noun</t>
        </is>
      </c>
      <c r="E28" s="16" t="inlineStr">
        <is>
          <t>ق-و-م</t>
        </is>
      </c>
      <c r="F28" s="7" t="n">
        <v>383</v>
      </c>
      <c r="G28" s="19">
        <f>F28/77429</f>
        <v/>
      </c>
      <c r="H28" s="12">
        <f>SUM(F$5:F28)/77429</f>
        <v/>
      </c>
      <c r="I28" s="8" t="inlineStr">
        <is>
          <t>people / nation / community</t>
        </is>
      </c>
    </row>
    <row r="29">
      <c r="A29" s="16" t="n">
        <v>25</v>
      </c>
      <c r="B29" s="17" t="inlineStr">
        <is>
          <t>عَلِمَ</t>
        </is>
      </c>
      <c r="C29" s="8" t="inlineStr">
        <is>
          <t>ʿalima</t>
        </is>
      </c>
      <c r="D29" s="8" t="inlineStr">
        <is>
          <t>Verb (Form I)</t>
        </is>
      </c>
      <c r="E29" s="16" t="inlineStr">
        <is>
          <t>ع-ل-م</t>
        </is>
      </c>
      <c r="F29" s="7" t="n">
        <v>382</v>
      </c>
      <c r="G29" s="19">
        <f>F29/77429</f>
        <v/>
      </c>
      <c r="H29" s="12">
        <f>SUM(F$5:F29)/77429</f>
        <v/>
      </c>
      <c r="I29" s="8" t="inlineStr">
        <is>
          <t>to know / perceive / learn</t>
        </is>
      </c>
    </row>
    <row r="30">
      <c r="A30" s="16" t="n">
        <v>26</v>
      </c>
      <c r="B30" s="17" t="inlineStr">
        <is>
          <t>آيَة</t>
        </is>
      </c>
      <c r="C30" s="8" t="inlineStr">
        <is>
          <t>āyah</t>
        </is>
      </c>
      <c r="D30" s="8" t="inlineStr">
        <is>
          <t>Noun</t>
        </is>
      </c>
      <c r="E30" s="16" t="inlineStr">
        <is>
          <t>أ-ي-ي</t>
        </is>
      </c>
      <c r="F30" s="7" t="n">
        <v>382</v>
      </c>
      <c r="G30" s="19">
        <f>F30/77429</f>
        <v/>
      </c>
      <c r="H30" s="12">
        <f>SUM(F$5:F30)/77429</f>
        <v/>
      </c>
      <c r="I30" s="8" t="inlineStr">
        <is>
          <t>sign / miracle / verse</t>
        </is>
      </c>
    </row>
    <row r="31">
      <c r="A31" s="16" t="n">
        <v>27</v>
      </c>
      <c r="B31" s="17" t="inlineStr">
        <is>
          <t>أَنَّ</t>
        </is>
      </c>
      <c r="C31" s="8" t="inlineStr">
        <is>
          <t>anna</t>
        </is>
      </c>
      <c r="D31" s="8" t="inlineStr">
        <is>
          <t>Accusative Particle</t>
        </is>
      </c>
      <c r="E31" s="18" t="inlineStr">
        <is>
          <t>—</t>
        </is>
      </c>
      <c r="F31" s="7" t="n">
        <v>362</v>
      </c>
      <c r="G31" s="19">
        <f>F31/77429</f>
        <v/>
      </c>
      <c r="H31" s="12">
        <f>SUM(F$5:F31)/77429</f>
        <v/>
      </c>
      <c r="I31" s="8" t="inlineStr">
        <is>
          <t>that / indeed that</t>
        </is>
      </c>
    </row>
    <row r="32">
      <c r="A32" s="16" t="n">
        <v>28</v>
      </c>
      <c r="B32" s="17" t="inlineStr">
        <is>
          <t>كُلّ</t>
        </is>
      </c>
      <c r="C32" s="8" t="inlineStr">
        <is>
          <t>kull</t>
        </is>
      </c>
      <c r="D32" s="8" t="inlineStr">
        <is>
          <t>Noun</t>
        </is>
      </c>
      <c r="E32" s="16" t="inlineStr">
        <is>
          <t>ك-ل-ل</t>
        </is>
      </c>
      <c r="F32" s="7" t="n">
        <v>358</v>
      </c>
      <c r="G32" s="19">
        <f>F32/77429</f>
        <v/>
      </c>
      <c r="H32" s="12">
        <f>SUM(F$5:F32)/77429</f>
        <v/>
      </c>
      <c r="I32" s="8" t="inlineStr">
        <is>
          <t>all / every / each</t>
        </is>
      </c>
    </row>
    <row r="33">
      <c r="A33" s="16" t="n">
        <v>29</v>
      </c>
      <c r="B33" s="17" t="inlineStr">
        <is>
          <t>لَم</t>
        </is>
      </c>
      <c r="C33" s="8" t="inlineStr">
        <is>
          <t>lam</t>
        </is>
      </c>
      <c r="D33" s="8" t="inlineStr">
        <is>
          <t>Negative Particle</t>
        </is>
      </c>
      <c r="E33" s="18" t="inlineStr">
        <is>
          <t>—</t>
        </is>
      </c>
      <c r="F33" s="7" t="n">
        <v>353</v>
      </c>
      <c r="G33" s="19">
        <f>F33/77429</f>
        <v/>
      </c>
      <c r="H33" s="12">
        <f>SUM(F$5:F33)/77429</f>
        <v/>
      </c>
      <c r="I33" s="8" t="inlineStr">
        <is>
          <t>did not / not</t>
        </is>
      </c>
    </row>
    <row r="34">
      <c r="A34" s="16" t="n">
        <v>30</v>
      </c>
      <c r="B34" s="17" t="inlineStr">
        <is>
          <t>جَعَلَ</t>
        </is>
      </c>
      <c r="C34" s="8" t="inlineStr">
        <is>
          <t>jaʿala</t>
        </is>
      </c>
      <c r="D34" s="8" t="inlineStr">
        <is>
          <t>Verb (Form I)</t>
        </is>
      </c>
      <c r="E34" s="16" t="inlineStr">
        <is>
          <t>ج-ع-ل</t>
        </is>
      </c>
      <c r="F34" s="7" t="n">
        <v>340</v>
      </c>
      <c r="G34" s="19">
        <f>F34/77429</f>
        <v/>
      </c>
      <c r="H34" s="12">
        <f>SUM(F$5:F34)/77429</f>
        <v/>
      </c>
      <c r="I34" s="8" t="inlineStr">
        <is>
          <t>to make / place / create</t>
        </is>
      </c>
    </row>
    <row r="35">
      <c r="A35" s="16" t="n">
        <v>31</v>
      </c>
      <c r="B35" s="17" t="inlineStr">
        <is>
          <t>ثُمَّ</t>
        </is>
      </c>
      <c r="C35" s="8" t="inlineStr">
        <is>
          <t>thumma</t>
        </is>
      </c>
      <c r="D35" s="8" t="inlineStr">
        <is>
          <t>Coordinating Conjunction</t>
        </is>
      </c>
      <c r="E35" s="18" t="inlineStr">
        <is>
          <t>—</t>
        </is>
      </c>
      <c r="F35" s="7" t="n">
        <v>338</v>
      </c>
      <c r="G35" s="19">
        <f>F35/77429</f>
        <v/>
      </c>
      <c r="H35" s="12">
        <f>SUM(F$5:F35)/77429</f>
        <v/>
      </c>
      <c r="I35" s="8" t="inlineStr">
        <is>
          <t>then / thereafter</t>
        </is>
      </c>
    </row>
    <row r="36">
      <c r="A36" s="16" t="n">
        <v>32</v>
      </c>
      <c r="B36" s="17" t="inlineStr">
        <is>
          <t>رَسُول</t>
        </is>
      </c>
      <c r="C36" s="8" t="inlineStr">
        <is>
          <t>rasūl</t>
        </is>
      </c>
      <c r="D36" s="8" t="inlineStr">
        <is>
          <t>Noun</t>
        </is>
      </c>
      <c r="E36" s="16" t="inlineStr">
        <is>
          <t>ر-س-ل</t>
        </is>
      </c>
      <c r="F36" s="7" t="n">
        <v>332</v>
      </c>
      <c r="G36" s="19">
        <f>F36/77429</f>
        <v/>
      </c>
      <c r="H36" s="12">
        <f>SUM(F$5:F36)/77429</f>
        <v/>
      </c>
      <c r="I36" s="8" t="inlineStr">
        <is>
          <t>messenger / envoy</t>
        </is>
      </c>
    </row>
    <row r="37">
      <c r="A37" s="16" t="n">
        <v>33</v>
      </c>
      <c r="B37" s="17" t="inlineStr">
        <is>
          <t>يَوْم</t>
        </is>
      </c>
      <c r="C37" s="8" t="inlineStr">
        <is>
          <t>yawm</t>
        </is>
      </c>
      <c r="D37" s="8" t="inlineStr">
        <is>
          <t>Noun</t>
        </is>
      </c>
      <c r="E37" s="16" t="inlineStr">
        <is>
          <t>ي-و-م</t>
        </is>
      </c>
      <c r="F37" s="7" t="n">
        <v>325</v>
      </c>
      <c r="G37" s="19">
        <f>F37/77429</f>
        <v/>
      </c>
      <c r="H37" s="12">
        <f>SUM(F$5:F37)/77429</f>
        <v/>
      </c>
      <c r="I37" s="8" t="inlineStr">
        <is>
          <t>day / period of time</t>
        </is>
      </c>
    </row>
    <row r="38">
      <c r="A38" s="16" t="n">
        <v>34</v>
      </c>
      <c r="B38" s="17" t="inlineStr">
        <is>
          <t>عَذَاب</t>
        </is>
      </c>
      <c r="C38" s="8" t="inlineStr">
        <is>
          <t>ʿadhāb</t>
        </is>
      </c>
      <c r="D38" s="8" t="inlineStr">
        <is>
          <t>Noun</t>
        </is>
      </c>
      <c r="E38" s="16" t="inlineStr">
        <is>
          <t>ع-ذ-ب</t>
        </is>
      </c>
      <c r="F38" s="7" t="n">
        <v>322</v>
      </c>
      <c r="G38" s="19">
        <f>F38/77429</f>
        <v/>
      </c>
      <c r="H38" s="12">
        <f>SUM(F$5:F38)/77429</f>
        <v/>
      </c>
      <c r="I38" s="8" t="inlineStr">
        <is>
          <t>punishment / torment</t>
        </is>
      </c>
    </row>
    <row r="39">
      <c r="A39" s="16" t="n">
        <v>35</v>
      </c>
      <c r="B39" s="17" t="inlineStr">
        <is>
          <t>هَٰذَا</t>
        </is>
      </c>
      <c r="C39" s="8" t="inlineStr">
        <is>
          <t>hādhā</t>
        </is>
      </c>
      <c r="D39" s="8" t="inlineStr">
        <is>
          <t>Demonstrative Pronoun</t>
        </is>
      </c>
      <c r="E39" s="18" t="inlineStr">
        <is>
          <t>—</t>
        </is>
      </c>
      <c r="F39" s="7" t="n">
        <v>317</v>
      </c>
      <c r="G39" s="19">
        <f>F39/77429</f>
        <v/>
      </c>
      <c r="H39" s="12">
        <f>SUM(F$5:F39)/77429</f>
        <v/>
      </c>
      <c r="I39" s="8" t="inlineStr">
        <is>
          <t>this (masculine singular)</t>
        </is>
      </c>
    </row>
    <row r="40">
      <c r="A40" s="16" t="n">
        <v>36</v>
      </c>
      <c r="B40" s="17" t="inlineStr">
        <is>
          <t>سَمَاء</t>
        </is>
      </c>
      <c r="C40" s="8" t="inlineStr">
        <is>
          <t>samāʾ</t>
        </is>
      </c>
      <c r="D40" s="8" t="inlineStr">
        <is>
          <t>Noun</t>
        </is>
      </c>
      <c r="E40" s="16" t="inlineStr">
        <is>
          <t>س-م-و</t>
        </is>
      </c>
      <c r="F40" s="7" t="n">
        <v>310</v>
      </c>
      <c r="G40" s="19">
        <f>F40/77429</f>
        <v/>
      </c>
      <c r="H40" s="12">
        <f>SUM(F$5:F40)/77429</f>
        <v/>
      </c>
      <c r="I40" s="8" t="inlineStr">
        <is>
          <t>sky / heaven / firmament</t>
        </is>
      </c>
    </row>
    <row r="41">
      <c r="A41" s="16" t="n">
        <v>37</v>
      </c>
      <c r="B41" s="17" t="inlineStr">
        <is>
          <t>نَفْس</t>
        </is>
      </c>
      <c r="C41" s="8" t="inlineStr">
        <is>
          <t>nafs</t>
        </is>
      </c>
      <c r="D41" s="8" t="inlineStr">
        <is>
          <t>Noun</t>
        </is>
      </c>
      <c r="E41" s="16" t="inlineStr">
        <is>
          <t>ن-ف-س</t>
        </is>
      </c>
      <c r="F41" s="7" t="n">
        <v>295</v>
      </c>
      <c r="G41" s="19">
        <f>F41/77429</f>
        <v/>
      </c>
      <c r="H41" s="12">
        <f>SUM(F$5:F41)/77429</f>
        <v/>
      </c>
      <c r="I41" s="8" t="inlineStr">
        <is>
          <t>soul / self / person</t>
        </is>
      </c>
    </row>
    <row r="42">
      <c r="A42" s="16" t="n">
        <v>38</v>
      </c>
      <c r="B42" s="17" t="inlineStr">
        <is>
          <t>كَفَرَ</t>
        </is>
      </c>
      <c r="C42" s="8" t="inlineStr">
        <is>
          <t>kafara</t>
        </is>
      </c>
      <c r="D42" s="8" t="inlineStr">
        <is>
          <t>Verb (Form I)</t>
        </is>
      </c>
      <c r="E42" s="16" t="inlineStr">
        <is>
          <t>ك-ف-ر</t>
        </is>
      </c>
      <c r="F42" s="7" t="n">
        <v>289</v>
      </c>
      <c r="G42" s="19">
        <f>F42/77429</f>
        <v/>
      </c>
      <c r="H42" s="12">
        <f>SUM(F$5:F42)/77429</f>
        <v/>
      </c>
      <c r="I42" s="8" t="inlineStr">
        <is>
          <t>to disbelieve / deny / reject</t>
        </is>
      </c>
    </row>
    <row r="43">
      <c r="A43" s="16" t="n">
        <v>39</v>
      </c>
      <c r="B43" s="17" t="inlineStr">
        <is>
          <t>شَيْء</t>
        </is>
      </c>
      <c r="C43" s="8" t="inlineStr">
        <is>
          <t>shayʾ</t>
        </is>
      </c>
      <c r="D43" s="8" t="inlineStr">
        <is>
          <t>Noun</t>
        </is>
      </c>
      <c r="E43" s="16" t="inlineStr">
        <is>
          <t>ش-ي-أ</t>
        </is>
      </c>
      <c r="F43" s="7" t="n">
        <v>283</v>
      </c>
      <c r="G43" s="19">
        <f>F43/77429</f>
        <v/>
      </c>
      <c r="H43" s="12">
        <f>SUM(F$5:F43)/77429</f>
        <v/>
      </c>
      <c r="I43" s="8" t="inlineStr">
        <is>
          <t>thing / entity</t>
        </is>
      </c>
    </row>
    <row r="44">
      <c r="A44" s="16" t="n">
        <v>40</v>
      </c>
      <c r="B44" s="17" t="inlineStr">
        <is>
          <t>أَوْ</t>
        </is>
      </c>
      <c r="C44" s="8" t="inlineStr">
        <is>
          <t>aw</t>
        </is>
      </c>
      <c r="D44" s="8" t="inlineStr">
        <is>
          <t>Coordinating Conjunction</t>
        </is>
      </c>
      <c r="E44" s="18" t="inlineStr">
        <is>
          <t>—</t>
        </is>
      </c>
      <c r="F44" s="7" t="n">
        <v>280</v>
      </c>
      <c r="G44" s="19">
        <f>F44/77429</f>
        <v/>
      </c>
      <c r="H44" s="12">
        <f>SUM(F$5:F44)/77429</f>
        <v/>
      </c>
      <c r="I44" s="8" t="inlineStr">
        <is>
          <t>or</t>
        </is>
      </c>
    </row>
    <row r="45">
      <c r="A45" s="16" t="n">
        <v>41</v>
      </c>
      <c r="B45" s="17" t="inlineStr">
        <is>
          <t>جَاءَ</t>
        </is>
      </c>
      <c r="C45" s="8" t="inlineStr">
        <is>
          <t>jāʾa</t>
        </is>
      </c>
      <c r="D45" s="8" t="inlineStr">
        <is>
          <t>Verb (Form I)</t>
        </is>
      </c>
      <c r="E45" s="16" t="inlineStr">
        <is>
          <t>ج-ي-أ</t>
        </is>
      </c>
      <c r="F45" s="7" t="n">
        <v>278</v>
      </c>
      <c r="G45" s="19">
        <f>F45/77429</f>
        <v/>
      </c>
      <c r="H45" s="12">
        <f>SUM(F$5:F45)/77429</f>
        <v/>
      </c>
      <c r="I45" s="8" t="inlineStr">
        <is>
          <t>to come / arrive / bring</t>
        </is>
      </c>
    </row>
    <row r="46">
      <c r="A46" s="16" t="n">
        <v>42</v>
      </c>
      <c r="B46" s="17" t="inlineStr">
        <is>
          <t>عَمِلَ</t>
        </is>
      </c>
      <c r="C46" s="8" t="inlineStr">
        <is>
          <t>ʿamila</t>
        </is>
      </c>
      <c r="D46" s="8" t="inlineStr">
        <is>
          <t>Verb (Form I)</t>
        </is>
      </c>
      <c r="E46" s="16" t="inlineStr">
        <is>
          <t>ع-م-ل</t>
        </is>
      </c>
      <c r="F46" s="7" t="n">
        <v>276</v>
      </c>
      <c r="G46" s="19">
        <f>F46/77429</f>
        <v/>
      </c>
      <c r="H46" s="12">
        <f>SUM(F$5:F46)/77429</f>
        <v/>
      </c>
      <c r="I46" s="8" t="inlineStr">
        <is>
          <t>to do / work / perform</t>
        </is>
      </c>
    </row>
    <row r="47">
      <c r="A47" s="16" t="n">
        <v>43</v>
      </c>
      <c r="B47" s="17" t="inlineStr">
        <is>
          <t>آتَى</t>
        </is>
      </c>
      <c r="C47" s="8" t="inlineStr">
        <is>
          <t>ātā</t>
        </is>
      </c>
      <c r="D47" s="8" t="inlineStr">
        <is>
          <t>Verb (Form IV)</t>
        </is>
      </c>
      <c r="E47" s="16" t="inlineStr">
        <is>
          <t>أ-ت-ي</t>
        </is>
      </c>
      <c r="F47" s="7" t="n">
        <v>271</v>
      </c>
      <c r="G47" s="19">
        <f>F47/77429</f>
        <v/>
      </c>
      <c r="H47" s="12">
        <f>SUM(F$5:F47)/77429</f>
        <v/>
      </c>
      <c r="I47" s="8" t="inlineStr">
        <is>
          <t>to give / provide / bestow</t>
        </is>
      </c>
    </row>
    <row r="48">
      <c r="A48" s="16" t="n">
        <v>44</v>
      </c>
      <c r="B48" s="17" t="inlineStr">
        <is>
          <t>رَأَى</t>
        </is>
      </c>
      <c r="C48" s="8" t="inlineStr">
        <is>
          <t>raʾā</t>
        </is>
      </c>
      <c r="D48" s="8" t="inlineStr">
        <is>
          <t>Verb (Form I)</t>
        </is>
      </c>
      <c r="E48" s="16" t="inlineStr">
        <is>
          <t>ر-أ-ي</t>
        </is>
      </c>
      <c r="F48" s="7" t="n">
        <v>271</v>
      </c>
      <c r="G48" s="19">
        <f>F48/77429</f>
        <v/>
      </c>
      <c r="H48" s="12">
        <f>SUM(F$5:F48)/77429</f>
        <v/>
      </c>
      <c r="I48" s="8" t="inlineStr">
        <is>
          <t>to see / perceive / behold</t>
        </is>
      </c>
    </row>
    <row r="49">
      <c r="A49" s="16" t="n">
        <v>45</v>
      </c>
      <c r="B49" s="17" t="inlineStr">
        <is>
          <t>أَتَى</t>
        </is>
      </c>
      <c r="C49" s="8" t="inlineStr">
        <is>
          <t>atā</t>
        </is>
      </c>
      <c r="D49" s="8" t="inlineStr">
        <is>
          <t>Verb (Form I)</t>
        </is>
      </c>
      <c r="E49" s="16" t="inlineStr">
        <is>
          <t>أ-ت-ي</t>
        </is>
      </c>
      <c r="F49" s="7" t="n">
        <v>264</v>
      </c>
      <c r="G49" s="19">
        <f>F49/77429</f>
        <v/>
      </c>
      <c r="H49" s="12">
        <f>SUM(F$5:F49)/77429</f>
        <v/>
      </c>
      <c r="I49" s="8" t="inlineStr">
        <is>
          <t>to come / reach</t>
        </is>
      </c>
    </row>
    <row r="50">
      <c r="A50" s="16" t="n">
        <v>46</v>
      </c>
      <c r="B50" s="17" t="inlineStr">
        <is>
          <t>كِتَاب</t>
        </is>
      </c>
      <c r="C50" s="8" t="inlineStr">
        <is>
          <t>kitāb</t>
        </is>
      </c>
      <c r="D50" s="8" t="inlineStr">
        <is>
          <t>Noun</t>
        </is>
      </c>
      <c r="E50" s="16" t="inlineStr">
        <is>
          <t>ك-ت-ب</t>
        </is>
      </c>
      <c r="F50" s="7" t="n">
        <v>260</v>
      </c>
      <c r="G50" s="19">
        <f>F50/77429</f>
        <v/>
      </c>
      <c r="H50" s="12">
        <f>SUM(F$5:F50)/77429</f>
        <v/>
      </c>
      <c r="I50" s="8" t="inlineStr">
        <is>
          <t>book / scripture / decree</t>
        </is>
      </c>
    </row>
    <row r="51">
      <c r="A51" s="16" t="n">
        <v>47</v>
      </c>
      <c r="B51" s="17" t="inlineStr">
        <is>
          <t>بَيْن</t>
        </is>
      </c>
      <c r="C51" s="8" t="inlineStr">
        <is>
          <t>bayn</t>
        </is>
      </c>
      <c r="D51" s="8" t="inlineStr">
        <is>
          <t>Location Adverb</t>
        </is>
      </c>
      <c r="E51" s="16" t="inlineStr">
        <is>
          <t>ب-ي-ن</t>
        </is>
      </c>
      <c r="F51" s="7" t="n">
        <v>243</v>
      </c>
      <c r="G51" s="19">
        <f>F51/77429</f>
        <v/>
      </c>
      <c r="H51" s="12">
        <f>SUM(F$5:F51)/77429</f>
        <v/>
      </c>
      <c r="I51" s="8" t="inlineStr">
        <is>
          <t>between / among</t>
        </is>
      </c>
    </row>
    <row r="52">
      <c r="A52" s="16" t="n">
        <v>48</v>
      </c>
      <c r="B52" s="17" t="inlineStr">
        <is>
          <t>حَقّ</t>
        </is>
      </c>
      <c r="C52" s="8" t="inlineStr">
        <is>
          <t>ḥaqq</t>
        </is>
      </c>
      <c r="D52" s="8" t="inlineStr">
        <is>
          <t>Noun</t>
        </is>
      </c>
      <c r="E52" s="16" t="inlineStr">
        <is>
          <t>ح-ق-ق</t>
        </is>
      </c>
      <c r="F52" s="7" t="n">
        <v>242</v>
      </c>
      <c r="G52" s="19">
        <f>F52/77429</f>
        <v/>
      </c>
      <c r="H52" s="12">
        <f>SUM(F$5:F52)/77429</f>
        <v/>
      </c>
      <c r="I52" s="8" t="inlineStr">
        <is>
          <t>truth / reality / right</t>
        </is>
      </c>
    </row>
    <row r="53">
      <c r="A53" s="16" t="n">
        <v>49</v>
      </c>
      <c r="B53" s="17" t="inlineStr">
        <is>
          <t>نَاس</t>
        </is>
      </c>
      <c r="C53" s="8" t="inlineStr">
        <is>
          <t>nās</t>
        </is>
      </c>
      <c r="D53" s="8" t="inlineStr">
        <is>
          <t>Noun</t>
        </is>
      </c>
      <c r="E53" s="16" t="inlineStr">
        <is>
          <t>ن-و-س</t>
        </is>
      </c>
      <c r="F53" s="7" t="n">
        <v>241</v>
      </c>
      <c r="G53" s="19">
        <f>F53/77429</f>
        <v/>
      </c>
      <c r="H53" s="12">
        <f>SUM(F$5:F53)/77429</f>
        <v/>
      </c>
      <c r="I53" s="8" t="inlineStr">
        <is>
          <t>mankind / people / humanity</t>
        </is>
      </c>
    </row>
    <row r="54">
      <c r="A54" s="16" t="n">
        <v>50</v>
      </c>
      <c r="B54" s="17" t="inlineStr">
        <is>
          <t>إِذ</t>
        </is>
      </c>
      <c r="C54" s="8" t="inlineStr">
        <is>
          <t>idh</t>
        </is>
      </c>
      <c r="D54" s="8" t="inlineStr">
        <is>
          <t>Time Adverb</t>
        </is>
      </c>
      <c r="E54" s="18" t="inlineStr">
        <is>
          <t>—</t>
        </is>
      </c>
      <c r="F54" s="7" t="n">
        <v>239</v>
      </c>
      <c r="G54" s="19">
        <f>F54/77429</f>
        <v/>
      </c>
      <c r="H54" s="12">
        <f>SUM(F$5:F54)/77429</f>
        <v/>
      </c>
      <c r="I54" s="8" t="inlineStr">
        <is>
          <t>when / as / behold</t>
        </is>
      </c>
    </row>
    <row r="55">
      <c r="A55" s="16" t="n">
        <v>51</v>
      </c>
      <c r="B55" s="17" t="inlineStr">
        <is>
          <t>شَاءَ</t>
        </is>
      </c>
      <c r="C55" s="8" t="inlineStr">
        <is>
          <t>shāʾa</t>
        </is>
      </c>
      <c r="D55" s="8" t="inlineStr">
        <is>
          <t>Verb (Form I)</t>
        </is>
      </c>
      <c r="E55" s="16" t="inlineStr">
        <is>
          <t>ش-ي-أ</t>
        </is>
      </c>
      <c r="F55" s="7" t="n">
        <v>236</v>
      </c>
      <c r="G55" s="19">
        <f>F55/77429</f>
        <v/>
      </c>
      <c r="H55" s="12">
        <f>SUM(F$5:F55)/77429</f>
        <v/>
      </c>
      <c r="I55" s="8" t="inlineStr">
        <is>
          <t>to will / wish / decree</t>
        </is>
      </c>
    </row>
    <row r="56">
      <c r="A56" s="16" t="n">
        <v>52</v>
      </c>
      <c r="B56" s="17" t="inlineStr">
        <is>
          <t>أُولَٰئِك</t>
        </is>
      </c>
      <c r="C56" s="8" t="inlineStr">
        <is>
          <t>ulāʾika</t>
        </is>
      </c>
      <c r="D56" s="8" t="inlineStr">
        <is>
          <t>Demonstrative Pronoun</t>
        </is>
      </c>
      <c r="E56" s="18" t="inlineStr">
        <is>
          <t>—</t>
        </is>
      </c>
      <c r="F56" s="7" t="n">
        <v>204</v>
      </c>
      <c r="G56" s="19">
        <f>F56/77429</f>
        <v/>
      </c>
      <c r="H56" s="12">
        <f>SUM(F$5:F56)/77429</f>
        <v/>
      </c>
      <c r="I56" s="8" t="inlineStr">
        <is>
          <t>those (plural)</t>
        </is>
      </c>
    </row>
    <row r="57">
      <c r="A57" s="16" t="n">
        <v>53</v>
      </c>
      <c r="B57" s="17" t="inlineStr">
        <is>
          <t>قَبْل</t>
        </is>
      </c>
      <c r="C57" s="8" t="inlineStr">
        <is>
          <t>qabl</t>
        </is>
      </c>
      <c r="D57" s="8" t="inlineStr">
        <is>
          <t>Time Adverb / Noun</t>
        </is>
      </c>
      <c r="E57" s="16" t="inlineStr">
        <is>
          <t>ق-ب-ل</t>
        </is>
      </c>
      <c r="F57" s="7" t="n">
        <v>197</v>
      </c>
      <c r="G57" s="19">
        <f>F57/77429</f>
        <v/>
      </c>
      <c r="H57" s="12">
        <f>SUM(F$5:F57)/77429</f>
        <v/>
      </c>
      <c r="I57" s="8" t="inlineStr">
        <is>
          <t>before (temporal)</t>
        </is>
      </c>
    </row>
    <row r="58">
      <c r="A58" s="16" t="n">
        <v>54</v>
      </c>
      <c r="B58" s="17" t="inlineStr">
        <is>
          <t>مُؤْمِن</t>
        </is>
      </c>
      <c r="C58" s="8" t="inlineStr">
        <is>
          <t>muʾmin</t>
        </is>
      </c>
      <c r="D58" s="8" t="inlineStr">
        <is>
          <t>Noun / Participle</t>
        </is>
      </c>
      <c r="E58" s="16" t="inlineStr">
        <is>
          <t>أ-م-ن</t>
        </is>
      </c>
      <c r="F58" s="7" t="n">
        <v>195</v>
      </c>
      <c r="G58" s="19">
        <f>F58/77429</f>
        <v/>
      </c>
      <c r="H58" s="12">
        <f>SUM(F$5:F58)/77429</f>
        <v/>
      </c>
      <c r="I58" s="8" t="inlineStr">
        <is>
          <t>believer / faithful one</t>
        </is>
      </c>
    </row>
    <row r="59">
      <c r="A59" s="16" t="n">
        <v>55</v>
      </c>
      <c r="B59" s="17" t="inlineStr">
        <is>
          <t>خَلَقَ</t>
        </is>
      </c>
      <c r="C59" s="8" t="inlineStr">
        <is>
          <t>khalaqa</t>
        </is>
      </c>
      <c r="D59" s="8" t="inlineStr">
        <is>
          <t>Verb (Form I)</t>
        </is>
      </c>
      <c r="E59" s="16" t="inlineStr">
        <is>
          <t>خ-ل-ق</t>
        </is>
      </c>
      <c r="F59" s="7" t="n">
        <v>184</v>
      </c>
      <c r="G59" s="19">
        <f>F59/77429</f>
        <v/>
      </c>
      <c r="H59" s="12">
        <f>SUM(F$5:F59)/77429</f>
        <v/>
      </c>
      <c r="I59" s="8" t="inlineStr">
        <is>
          <t>to create / originate</t>
        </is>
      </c>
    </row>
    <row r="60">
      <c r="A60" s="16" t="n">
        <v>56</v>
      </c>
      <c r="B60" s="17" t="inlineStr">
        <is>
          <t>أَنْزَلَ</t>
        </is>
      </c>
      <c r="C60" s="8" t="inlineStr">
        <is>
          <t>anzala</t>
        </is>
      </c>
      <c r="D60" s="8" t="inlineStr">
        <is>
          <t>Verb (Form IV)</t>
        </is>
      </c>
      <c r="E60" s="16" t="inlineStr">
        <is>
          <t>ن-ز-ل</t>
        </is>
      </c>
      <c r="F60" s="7" t="n">
        <v>183</v>
      </c>
      <c r="G60" s="19">
        <f>F60/77429</f>
        <v/>
      </c>
      <c r="H60" s="12">
        <f>SUM(F$5:F60)/77429</f>
        <v/>
      </c>
      <c r="I60" s="8" t="inlineStr">
        <is>
          <t>to send down / reveal</t>
        </is>
      </c>
    </row>
    <row r="61">
      <c r="A61" s="16" t="n">
        <v>57</v>
      </c>
      <c r="B61" s="17" t="inlineStr">
        <is>
          <t>كَذَّبَ</t>
        </is>
      </c>
      <c r="C61" s="8" t="inlineStr">
        <is>
          <t>kadhdhaba</t>
        </is>
      </c>
      <c r="D61" s="8" t="inlineStr">
        <is>
          <t>Verb (Form II)</t>
        </is>
      </c>
      <c r="E61" s="16" t="inlineStr">
        <is>
          <t>ك-ذ-ب</t>
        </is>
      </c>
      <c r="F61" s="7" t="n">
        <v>176</v>
      </c>
      <c r="G61" s="19">
        <f>F61/77429</f>
        <v/>
      </c>
      <c r="H61" s="12">
        <f>SUM(F$5:F61)/77429</f>
        <v/>
      </c>
      <c r="I61" s="8" t="inlineStr">
        <is>
          <t>to deny / reject as a lie</t>
        </is>
      </c>
    </row>
    <row r="62">
      <c r="A62" s="16" t="n">
        <v>58</v>
      </c>
      <c r="B62" s="17" t="inlineStr">
        <is>
          <t>سَبِيل</t>
        </is>
      </c>
      <c r="C62" s="8" t="inlineStr">
        <is>
          <t>sabīl</t>
        </is>
      </c>
      <c r="D62" s="8" t="inlineStr">
        <is>
          <t>Noun</t>
        </is>
      </c>
      <c r="E62" s="16" t="inlineStr">
        <is>
          <t>س-ب-ل</t>
        </is>
      </c>
      <c r="F62" s="7" t="n">
        <v>176</v>
      </c>
      <c r="G62" s="19">
        <f>F62/77429</f>
        <v/>
      </c>
      <c r="H62" s="12">
        <f>SUM(F$5:F62)/77429</f>
        <v/>
      </c>
      <c r="I62" s="8" t="inlineStr">
        <is>
          <t>way / path / road</t>
        </is>
      </c>
    </row>
    <row r="63">
      <c r="A63" s="16" t="n">
        <v>59</v>
      </c>
      <c r="B63" s="17" t="inlineStr">
        <is>
          <t>دَعَا</t>
        </is>
      </c>
      <c r="C63" s="8" t="inlineStr">
        <is>
          <t>daʿā</t>
        </is>
      </c>
      <c r="D63" s="8" t="inlineStr">
        <is>
          <t>Verb (Form I)</t>
        </is>
      </c>
      <c r="E63" s="16" t="inlineStr">
        <is>
          <t>د-ع-و</t>
        </is>
      </c>
      <c r="F63" s="7" t="n">
        <v>170</v>
      </c>
      <c r="G63" s="19">
        <f>F63/77429</f>
        <v/>
      </c>
      <c r="H63" s="12">
        <f>SUM(F$5:F63)/77429</f>
        <v/>
      </c>
      <c r="I63" s="8" t="inlineStr">
        <is>
          <t>to call / invite / pray</t>
        </is>
      </c>
    </row>
    <row r="64">
      <c r="A64" s="16" t="n">
        <v>60</v>
      </c>
      <c r="B64" s="17" t="inlineStr">
        <is>
          <t>أَمْر</t>
        </is>
      </c>
      <c r="C64" s="8" t="inlineStr">
        <is>
          <t>amr</t>
        </is>
      </c>
      <c r="D64" s="8" t="inlineStr">
        <is>
          <t>Noun</t>
        </is>
      </c>
      <c r="E64" s="16" t="inlineStr">
        <is>
          <t>أ-م-ر</t>
        </is>
      </c>
      <c r="F64" s="7" t="n">
        <v>166</v>
      </c>
      <c r="G64" s="19">
        <f>F64/77429</f>
        <v/>
      </c>
      <c r="H64" s="12">
        <f>SUM(F$5:F64)/77429</f>
        <v/>
      </c>
      <c r="I64" s="8" t="inlineStr">
        <is>
          <t>command / affair / matter</t>
        </is>
      </c>
    </row>
    <row r="65">
      <c r="A65" s="16" t="n">
        <v>61</v>
      </c>
      <c r="B65" s="17" t="inlineStr">
        <is>
          <t>اتَّقَى</t>
        </is>
      </c>
      <c r="C65" s="8" t="inlineStr">
        <is>
          <t>ittaqā</t>
        </is>
      </c>
      <c r="D65" s="8" t="inlineStr">
        <is>
          <t>Verb (Form VIII)</t>
        </is>
      </c>
      <c r="E65" s="16" t="inlineStr">
        <is>
          <t>و-ق-ي</t>
        </is>
      </c>
      <c r="F65" s="7" t="n">
        <v>166</v>
      </c>
      <c r="G65" s="19">
        <f>F65/77429</f>
        <v/>
      </c>
      <c r="H65" s="12">
        <f>SUM(F$5:F65)/77429</f>
        <v/>
      </c>
      <c r="I65" s="8" t="inlineStr">
        <is>
          <t>to fear God / be righteous</t>
        </is>
      </c>
    </row>
    <row r="66">
      <c r="A66" s="16" t="n">
        <v>62</v>
      </c>
      <c r="B66" s="17" t="inlineStr">
        <is>
          <t>عِنْد</t>
        </is>
      </c>
      <c r="C66" s="8" t="inlineStr">
        <is>
          <t>ʿind</t>
        </is>
      </c>
      <c r="D66" s="8" t="inlineStr">
        <is>
          <t>Location Adverb</t>
        </is>
      </c>
      <c r="E66" s="18" t="inlineStr">
        <is>
          <t>—</t>
        </is>
      </c>
      <c r="F66" s="7" t="n">
        <v>160</v>
      </c>
      <c r="G66" s="19">
        <f>F66/77429</f>
        <v/>
      </c>
      <c r="H66" s="12">
        <f>SUM(F$5:F66)/77429</f>
        <v/>
      </c>
      <c r="I66" s="8" t="inlineStr">
        <is>
          <t>at / with / near</t>
        </is>
      </c>
    </row>
    <row r="67">
      <c r="A67" s="16" t="n">
        <v>63</v>
      </c>
      <c r="B67" s="17" t="inlineStr">
        <is>
          <t>مَع</t>
        </is>
      </c>
      <c r="C67" s="8" t="inlineStr">
        <is>
          <t>maʿa</t>
        </is>
      </c>
      <c r="D67" s="8" t="inlineStr">
        <is>
          <t>Location Adverb</t>
        </is>
      </c>
      <c r="E67" s="18" t="inlineStr">
        <is>
          <t>—</t>
        </is>
      </c>
      <c r="F67" s="7" t="n">
        <v>159</v>
      </c>
      <c r="G67" s="19">
        <f>F67/77429</f>
        <v/>
      </c>
      <c r="H67" s="12">
        <f>SUM(F$5:F67)/77429</f>
        <v/>
      </c>
      <c r="I67" s="8" t="inlineStr">
        <is>
          <t>with / together with</t>
        </is>
      </c>
    </row>
    <row r="68">
      <c r="A68" s="16" t="n">
        <v>64</v>
      </c>
      <c r="B68" s="17" t="inlineStr">
        <is>
          <t>بَعْض</t>
        </is>
      </c>
      <c r="C68" s="8" t="inlineStr">
        <is>
          <t>baʿḍ</t>
        </is>
      </c>
      <c r="D68" s="8" t="inlineStr">
        <is>
          <t>Noun</t>
        </is>
      </c>
      <c r="E68" s="16" t="inlineStr">
        <is>
          <t>ب-ع-ض</t>
        </is>
      </c>
      <c r="F68" s="7" t="n">
        <v>157</v>
      </c>
      <c r="G68" s="19">
        <f>F68/77429</f>
        <v/>
      </c>
      <c r="H68" s="12">
        <f>SUM(F$5:F68)/77429</f>
        <v/>
      </c>
      <c r="I68" s="8" t="inlineStr">
        <is>
          <t>some / part / portion</t>
        </is>
      </c>
    </row>
    <row r="69">
      <c r="A69" s="16" t="n">
        <v>65</v>
      </c>
      <c r="B69" s="17" t="inlineStr">
        <is>
          <t>ظَالِم</t>
        </is>
      </c>
      <c r="C69" s="8" t="inlineStr">
        <is>
          <t>ẓālim</t>
        </is>
      </c>
      <c r="D69" s="8" t="inlineStr">
        <is>
          <t>Noun / Participle</t>
        </is>
      </c>
      <c r="E69" s="16" t="inlineStr">
        <is>
          <t>ظ-ل-م</t>
        </is>
      </c>
      <c r="F69" s="7" t="n">
        <v>150</v>
      </c>
      <c r="G69" s="19">
        <f>F69/77429</f>
        <v/>
      </c>
      <c r="H69" s="12">
        <f>SUM(F$5:F69)/77429</f>
        <v/>
      </c>
      <c r="I69" s="8" t="inlineStr">
        <is>
          <t>oppressor / wrongdoer</t>
        </is>
      </c>
    </row>
    <row r="70">
      <c r="A70" s="16" t="n">
        <v>66</v>
      </c>
      <c r="B70" s="17" t="inlineStr">
        <is>
          <t>نَار</t>
        </is>
      </c>
      <c r="C70" s="8" t="inlineStr">
        <is>
          <t>nār</t>
        </is>
      </c>
      <c r="D70" s="8" t="inlineStr">
        <is>
          <t>Noun</t>
        </is>
      </c>
      <c r="E70" s="16" t="inlineStr">
        <is>
          <t>ن-و-ر</t>
        </is>
      </c>
      <c r="F70" s="7" t="n">
        <v>145</v>
      </c>
      <c r="G70" s="19">
        <f>F70/77429</f>
        <v/>
      </c>
      <c r="H70" s="12">
        <f>SUM(F$5:F70)/77429</f>
        <v/>
      </c>
      <c r="I70" s="8" t="inlineStr">
        <is>
          <t>fire / hellfire</t>
        </is>
      </c>
    </row>
    <row r="71">
      <c r="A71" s="16" t="n">
        <v>67</v>
      </c>
      <c r="B71" s="17" t="inlineStr">
        <is>
          <t>هَدَى</t>
        </is>
      </c>
      <c r="C71" s="8" t="inlineStr">
        <is>
          <t>hadā</t>
        </is>
      </c>
      <c r="D71" s="8" t="inlineStr">
        <is>
          <t>Verb (Form I)</t>
        </is>
      </c>
      <c r="E71" s="16" t="inlineStr">
        <is>
          <t>ه-د-ي</t>
        </is>
      </c>
      <c r="F71" s="7" t="n">
        <v>144</v>
      </c>
      <c r="G71" s="19">
        <f>F71/77429</f>
        <v/>
      </c>
      <c r="H71" s="12">
        <f>SUM(F$5:F71)/77429</f>
        <v/>
      </c>
      <c r="I71" s="8" t="inlineStr">
        <is>
          <t>to guide / direct</t>
        </is>
      </c>
    </row>
    <row r="72">
      <c r="A72" s="16" t="n">
        <v>68</v>
      </c>
      <c r="B72" s="17" t="inlineStr">
        <is>
          <t>جَنَّة</t>
        </is>
      </c>
      <c r="C72" s="8" t="inlineStr">
        <is>
          <t>jannah</t>
        </is>
      </c>
      <c r="D72" s="8" t="inlineStr">
        <is>
          <t>Noun</t>
        </is>
      </c>
      <c r="E72" s="16" t="inlineStr">
        <is>
          <t>ج-ن-ن</t>
        </is>
      </c>
      <c r="F72" s="7" t="n">
        <v>140</v>
      </c>
      <c r="G72" s="19">
        <f>F72/77429</f>
        <v/>
      </c>
      <c r="H72" s="12">
        <f>SUM(F$5:F72)/77429</f>
        <v/>
      </c>
      <c r="I72" s="8" t="inlineStr">
        <is>
          <t>paradise / garden</t>
        </is>
      </c>
    </row>
    <row r="73">
      <c r="A73" s="16" t="n">
        <v>69</v>
      </c>
      <c r="B73" s="17" t="inlineStr">
        <is>
          <t>أَرَادَ</t>
        </is>
      </c>
      <c r="C73" s="8" t="inlineStr">
        <is>
          <t>arāda</t>
        </is>
      </c>
      <c r="D73" s="8" t="inlineStr">
        <is>
          <t>Verb (Form IV)</t>
        </is>
      </c>
      <c r="E73" s="16" t="inlineStr">
        <is>
          <t>ر-و-د</t>
        </is>
      </c>
      <c r="F73" s="7" t="n">
        <v>139</v>
      </c>
      <c r="G73" s="19">
        <f>F73/77429</f>
        <v/>
      </c>
      <c r="H73" s="12">
        <f>SUM(F$5:F73)/77429</f>
        <v/>
      </c>
      <c r="I73" s="8" t="inlineStr">
        <is>
          <t>to intend / desire / wish</t>
        </is>
      </c>
    </row>
    <row r="74">
      <c r="A74" s="16" t="n">
        <v>70</v>
      </c>
      <c r="B74" s="17" t="inlineStr">
        <is>
          <t>اتَّبَعَ</t>
        </is>
      </c>
      <c r="C74" s="8" t="inlineStr">
        <is>
          <t>ittabaʿa</t>
        </is>
      </c>
      <c r="D74" s="8" t="inlineStr">
        <is>
          <t>Verb (Form VIII)</t>
        </is>
      </c>
      <c r="E74" s="16" t="inlineStr">
        <is>
          <t>ت-ب-ع</t>
        </is>
      </c>
      <c r="F74" s="7" t="n">
        <v>136</v>
      </c>
      <c r="G74" s="19">
        <f>F74/77429</f>
        <v/>
      </c>
      <c r="H74" s="12">
        <f>SUM(F$5:F74)/77429</f>
        <v/>
      </c>
      <c r="I74" s="8" t="inlineStr">
        <is>
          <t>to follow / pursue</t>
        </is>
      </c>
    </row>
    <row r="75">
      <c r="A75" s="16" t="n">
        <v>71</v>
      </c>
      <c r="B75" s="17" t="inlineStr">
        <is>
          <t>قَلْب</t>
        </is>
      </c>
      <c r="C75" s="8" t="inlineStr">
        <is>
          <t>qalb</t>
        </is>
      </c>
      <c r="D75" s="8" t="inlineStr">
        <is>
          <t>Noun</t>
        </is>
      </c>
      <c r="E75" s="16" t="inlineStr">
        <is>
          <t>ق-ل-ب</t>
        </is>
      </c>
      <c r="F75" s="7" t="n">
        <v>132</v>
      </c>
      <c r="G75" s="19">
        <f>F75/77429</f>
        <v/>
      </c>
      <c r="H75" s="12">
        <f>SUM(F$5:F75)/77429</f>
        <v/>
      </c>
      <c r="I75" s="8" t="inlineStr">
        <is>
          <t>heart</t>
        </is>
      </c>
    </row>
    <row r="76">
      <c r="A76" s="16" t="n">
        <v>72</v>
      </c>
      <c r="B76" s="17" t="inlineStr">
        <is>
          <t>أَرْسَلَ</t>
        </is>
      </c>
      <c r="C76" s="8" t="inlineStr">
        <is>
          <t>arsala</t>
        </is>
      </c>
      <c r="D76" s="8" t="inlineStr">
        <is>
          <t>Verb (Form IV)</t>
        </is>
      </c>
      <c r="E76" s="16" t="inlineStr">
        <is>
          <t>ر-س-ل</t>
        </is>
      </c>
      <c r="F76" s="7" t="n">
        <v>130</v>
      </c>
      <c r="G76" s="19">
        <f>F76/77429</f>
        <v/>
      </c>
      <c r="H76" s="12">
        <f>SUM(F$5:F76)/77429</f>
        <v/>
      </c>
      <c r="I76" s="8" t="inlineStr">
        <is>
          <t>to send / dispatch</t>
        </is>
      </c>
    </row>
    <row r="77">
      <c r="A77" s="16" t="n">
        <v>73</v>
      </c>
      <c r="B77" s="17" t="inlineStr">
        <is>
          <t>أَخَذَ</t>
        </is>
      </c>
      <c r="C77" s="8" t="inlineStr">
        <is>
          <t>akhadha</t>
        </is>
      </c>
      <c r="D77" s="8" t="inlineStr">
        <is>
          <t>Verb (Form I)</t>
        </is>
      </c>
      <c r="E77" s="16" t="inlineStr">
        <is>
          <t>أ-خ-ذ</t>
        </is>
      </c>
      <c r="F77" s="7" t="n">
        <v>127</v>
      </c>
      <c r="G77" s="19">
        <f>F77/77429</f>
        <v/>
      </c>
      <c r="H77" s="12">
        <f>SUM(F$5:F77)/77429</f>
        <v/>
      </c>
      <c r="I77" s="8" t="inlineStr">
        <is>
          <t>to take / seize</t>
        </is>
      </c>
    </row>
    <row r="78">
      <c r="A78" s="16" t="n">
        <v>74</v>
      </c>
      <c r="B78" s="17" t="inlineStr">
        <is>
          <t>أَهْل</t>
        </is>
      </c>
      <c r="C78" s="8" t="inlineStr">
        <is>
          <t>ahl</t>
        </is>
      </c>
      <c r="D78" s="8" t="inlineStr">
        <is>
          <t>Noun</t>
        </is>
      </c>
      <c r="E78" s="16" t="inlineStr">
        <is>
          <t>أ-ه-ل</t>
        </is>
      </c>
      <c r="F78" s="7" t="n">
        <v>127</v>
      </c>
      <c r="G78" s="19">
        <f>F78/77429</f>
        <v/>
      </c>
      <c r="H78" s="12">
        <f>SUM(F$5:F78)/77429</f>
        <v/>
      </c>
      <c r="I78" s="8" t="inlineStr">
        <is>
          <t>family / people / household</t>
        </is>
      </c>
    </row>
    <row r="79">
      <c r="A79" s="16" t="n">
        <v>75</v>
      </c>
      <c r="B79" s="17" t="inlineStr">
        <is>
          <t>اتَّخَذَ</t>
        </is>
      </c>
      <c r="C79" s="8" t="inlineStr">
        <is>
          <t>ittakhadha</t>
        </is>
      </c>
      <c r="D79" s="8" t="inlineStr">
        <is>
          <t>Verb (Form VIII)</t>
        </is>
      </c>
      <c r="E79" s="16" t="inlineStr">
        <is>
          <t>أ-خ-ذ</t>
        </is>
      </c>
      <c r="F79" s="7" t="n">
        <v>124</v>
      </c>
      <c r="G79" s="19">
        <f>F79/77429</f>
        <v/>
      </c>
      <c r="H79" s="12">
        <f>SUM(F$5:F79)/77429</f>
        <v/>
      </c>
      <c r="I79" s="8" t="inlineStr">
        <is>
          <t>to take / adopt</t>
        </is>
      </c>
    </row>
    <row r="80">
      <c r="A80" s="16" t="n">
        <v>76</v>
      </c>
      <c r="B80" s="17" t="inlineStr">
        <is>
          <t>عَبَدَ</t>
        </is>
      </c>
      <c r="C80" s="8" t="inlineStr">
        <is>
          <t>ʿabada</t>
        </is>
      </c>
      <c r="D80" s="8" t="inlineStr">
        <is>
          <t>Verb (Form I)</t>
        </is>
      </c>
      <c r="E80" s="16" t="inlineStr">
        <is>
          <t>ع-ب-د</t>
        </is>
      </c>
      <c r="F80" s="7" t="n">
        <v>122</v>
      </c>
      <c r="G80" s="19">
        <f>F80/77429</f>
        <v/>
      </c>
      <c r="H80" s="12">
        <f>SUM(F$5:F80)/77429</f>
        <v/>
      </c>
      <c r="I80" s="8" t="inlineStr">
        <is>
          <t>to worship / serve</t>
        </is>
      </c>
    </row>
    <row r="81">
      <c r="A81" s="16" t="n">
        <v>77</v>
      </c>
      <c r="B81" s="17" t="inlineStr">
        <is>
          <t>عَبْد</t>
        </is>
      </c>
      <c r="C81" s="8" t="inlineStr">
        <is>
          <t>ʿabd</t>
        </is>
      </c>
      <c r="D81" s="8" t="inlineStr">
        <is>
          <t>Noun</t>
        </is>
      </c>
      <c r="E81" s="16" t="inlineStr">
        <is>
          <t>ع-ب-د</t>
        </is>
      </c>
      <c r="F81" s="7" t="n">
        <v>120</v>
      </c>
      <c r="G81" s="19">
        <f>F81/77429</f>
        <v/>
      </c>
      <c r="H81" s="12">
        <f>SUM(F$5:F81)/77429</f>
        <v/>
      </c>
      <c r="I81" s="8" t="inlineStr">
        <is>
          <t>servant / slave</t>
        </is>
      </c>
    </row>
    <row r="82">
      <c r="A82" s="16" t="n">
        <v>78</v>
      </c>
      <c r="B82" s="17" t="inlineStr">
        <is>
          <t>خَوْف</t>
        </is>
      </c>
      <c r="C82" s="8" t="inlineStr">
        <is>
          <t>khawf</t>
        </is>
      </c>
      <c r="D82" s="8" t="inlineStr">
        <is>
          <t>Noun</t>
        </is>
      </c>
      <c r="E82" s="16" t="inlineStr">
        <is>
          <t>خ-و-ف</t>
        </is>
      </c>
      <c r="F82" s="7" t="n">
        <v>120</v>
      </c>
      <c r="G82" s="19">
        <f>F82/77429</f>
        <v/>
      </c>
      <c r="H82" s="12">
        <f>SUM(F$5:F82)/77429</f>
        <v/>
      </c>
      <c r="I82" s="8" t="inlineStr">
        <is>
          <t>fear</t>
        </is>
      </c>
    </row>
    <row r="83">
      <c r="A83" s="16" t="n">
        <v>79</v>
      </c>
      <c r="B83" s="17" t="inlineStr">
        <is>
          <t>رِزْق</t>
        </is>
      </c>
      <c r="C83" s="8" t="inlineStr">
        <is>
          <t>rizq</t>
        </is>
      </c>
      <c r="D83" s="8" t="inlineStr">
        <is>
          <t>Noun</t>
        </is>
      </c>
      <c r="E83" s="16" t="inlineStr">
        <is>
          <t>ر-ز-ق</t>
        </is>
      </c>
      <c r="F83" s="7" t="n">
        <v>120</v>
      </c>
      <c r="G83" s="19">
        <f>F83/77429</f>
        <v/>
      </c>
      <c r="H83" s="12">
        <f>SUM(F$5:F83)/77429</f>
        <v/>
      </c>
      <c r="I83" s="8" t="inlineStr">
        <is>
          <t>provision / sustenance</t>
        </is>
      </c>
    </row>
    <row r="84">
      <c r="A84" s="16" t="n">
        <v>80</v>
      </c>
      <c r="B84" s="17" t="inlineStr">
        <is>
          <t>وَلِيّ</t>
        </is>
      </c>
      <c r="C84" s="8" t="inlineStr">
        <is>
          <t>walī</t>
        </is>
      </c>
      <c r="D84" s="8" t="inlineStr">
        <is>
          <t>Noun</t>
        </is>
      </c>
      <c r="E84" s="16" t="inlineStr">
        <is>
          <t>و-ل-ي</t>
        </is>
      </c>
      <c r="F84" s="7" t="n">
        <v>120</v>
      </c>
      <c r="G84" s="19">
        <f>F84/77429</f>
        <v/>
      </c>
      <c r="H84" s="12">
        <f>SUM(F$5:F84)/77429</f>
        <v/>
      </c>
      <c r="I84" s="8" t="inlineStr">
        <is>
          <t>protector / guardian / ally</t>
        </is>
      </c>
    </row>
    <row r="85">
      <c r="A85" s="16" t="n">
        <v>81</v>
      </c>
      <c r="B85" s="17" t="inlineStr">
        <is>
          <t>دُنْيَا</t>
        </is>
      </c>
      <c r="C85" s="8" t="inlineStr">
        <is>
          <t>dunyā</t>
        </is>
      </c>
      <c r="D85" s="8" t="inlineStr">
        <is>
          <t>Noun</t>
        </is>
      </c>
      <c r="E85" s="16" t="inlineStr">
        <is>
          <t>د-ن-و</t>
        </is>
      </c>
      <c r="F85" s="7" t="n">
        <v>115</v>
      </c>
      <c r="G85" s="19">
        <f>F85/77429</f>
        <v/>
      </c>
      <c r="H85" s="12">
        <f>SUM(F$5:F85)/77429</f>
        <v/>
      </c>
      <c r="I85" s="8" t="inlineStr">
        <is>
          <t>world / worldly life</t>
        </is>
      </c>
    </row>
    <row r="86">
      <c r="A86" s="16" t="n">
        <v>82</v>
      </c>
      <c r="B86" s="17" t="inlineStr">
        <is>
          <t>رَحْمَة</t>
        </is>
      </c>
      <c r="C86" s="8" t="inlineStr">
        <is>
          <t>raḥmah</t>
        </is>
      </c>
      <c r="D86" s="8" t="inlineStr">
        <is>
          <t>Noun</t>
        </is>
      </c>
      <c r="E86" s="16" t="inlineStr">
        <is>
          <t>ر-ح-م</t>
        </is>
      </c>
      <c r="F86" s="7" t="n">
        <v>110</v>
      </c>
      <c r="G86" s="19">
        <f>F86/77429</f>
        <v/>
      </c>
      <c r="H86" s="12">
        <f>SUM(F$5:F86)/77429</f>
        <v/>
      </c>
      <c r="I86" s="8" t="inlineStr">
        <is>
          <t>mercy / compassion</t>
        </is>
      </c>
    </row>
    <row r="87">
      <c r="A87" s="16" t="n">
        <v>83</v>
      </c>
      <c r="B87" s="17" t="inlineStr">
        <is>
          <t>ظَلَمَ</t>
        </is>
      </c>
      <c r="C87" s="8" t="inlineStr">
        <is>
          <t>ẓalama</t>
        </is>
      </c>
      <c r="D87" s="8" t="inlineStr">
        <is>
          <t>Verb (Form I)</t>
        </is>
      </c>
      <c r="E87" s="16" t="inlineStr">
        <is>
          <t>ظ-ل-م</t>
        </is>
      </c>
      <c r="F87" s="7" t="n">
        <v>110</v>
      </c>
      <c r="G87" s="19">
        <f>F87/77429</f>
        <v/>
      </c>
      <c r="H87" s="12">
        <f>SUM(F$5:F87)/77429</f>
        <v/>
      </c>
      <c r="I87" s="8" t="inlineStr">
        <is>
          <t>to oppress / wrong</t>
        </is>
      </c>
    </row>
    <row r="88">
      <c r="A88" s="16" t="n">
        <v>84</v>
      </c>
      <c r="B88" s="17" t="inlineStr">
        <is>
          <t>سَأَلَ</t>
        </is>
      </c>
      <c r="C88" s="8" t="inlineStr">
        <is>
          <t>saʾala</t>
        </is>
      </c>
      <c r="D88" s="8" t="inlineStr">
        <is>
          <t>Verb (Form I)</t>
        </is>
      </c>
      <c r="E88" s="16" t="inlineStr">
        <is>
          <t>س-أ-ل</t>
        </is>
      </c>
      <c r="F88" s="7" t="n">
        <v>106</v>
      </c>
      <c r="G88" s="19">
        <f>F88/77429</f>
        <v/>
      </c>
      <c r="H88" s="12">
        <f>SUM(F$5:F88)/77429</f>
        <v/>
      </c>
      <c r="I88" s="8" t="inlineStr">
        <is>
          <t>to ask / inquire</t>
        </is>
      </c>
    </row>
    <row r="89">
      <c r="A89" s="16" t="n">
        <v>85</v>
      </c>
      <c r="B89" s="17" t="inlineStr">
        <is>
          <t>وَجَدَ</t>
        </is>
      </c>
      <c r="C89" s="8" t="inlineStr">
        <is>
          <t>wajada</t>
        </is>
      </c>
      <c r="D89" s="8" t="inlineStr">
        <is>
          <t>Verb (Form I)</t>
        </is>
      </c>
      <c r="E89" s="16" t="inlineStr">
        <is>
          <t>و-ج-د</t>
        </is>
      </c>
      <c r="F89" s="7" t="n">
        <v>106</v>
      </c>
      <c r="G89" s="19">
        <f>F89/77429</f>
        <v/>
      </c>
      <c r="H89" s="12">
        <f>SUM(F$5:F89)/77429</f>
        <v/>
      </c>
      <c r="I89" s="8" t="inlineStr">
        <is>
          <t>to find / perceive</t>
        </is>
      </c>
    </row>
    <row r="90">
      <c r="A90" s="16" t="n">
        <v>86</v>
      </c>
      <c r="B90" s="17" t="inlineStr">
        <is>
          <t>عِلْم</t>
        </is>
      </c>
      <c r="C90" s="8" t="inlineStr">
        <is>
          <t>ʿilm</t>
        </is>
      </c>
      <c r="D90" s="8" t="inlineStr">
        <is>
          <t>Noun</t>
        </is>
      </c>
      <c r="E90" s="16" t="inlineStr">
        <is>
          <t>ع-ل-م</t>
        </is>
      </c>
      <c r="F90" s="7" t="n">
        <v>100</v>
      </c>
      <c r="G90" s="19">
        <f>F90/77429</f>
        <v/>
      </c>
      <c r="H90" s="12">
        <f>SUM(F$5:F90)/77429</f>
        <v/>
      </c>
      <c r="I90" s="8" t="inlineStr">
        <is>
          <t>knowledge / learning</t>
        </is>
      </c>
    </row>
    <row r="91">
      <c r="A91" s="16" t="n">
        <v>87</v>
      </c>
      <c r="B91" s="17" t="inlineStr">
        <is>
          <t>صَبْر</t>
        </is>
      </c>
      <c r="C91" s="8" t="inlineStr">
        <is>
          <t>ṣabr</t>
        </is>
      </c>
      <c r="D91" s="8" t="inlineStr">
        <is>
          <t>Noun</t>
        </is>
      </c>
      <c r="E91" s="16" t="inlineStr">
        <is>
          <t>ص-ب-ر</t>
        </is>
      </c>
      <c r="F91" s="7" t="n">
        <v>100</v>
      </c>
      <c r="G91" s="19">
        <f>F91/77429</f>
        <v/>
      </c>
      <c r="H91" s="12">
        <f>SUM(F$5:F91)/77429</f>
        <v/>
      </c>
      <c r="I91" s="8" t="inlineStr">
        <is>
          <t>patience / perseverance</t>
        </is>
      </c>
    </row>
    <row r="92">
      <c r="A92" s="16" t="n">
        <v>88</v>
      </c>
      <c r="B92" s="17" t="inlineStr">
        <is>
          <t>أَجْر</t>
        </is>
      </c>
      <c r="C92" s="8" t="inlineStr">
        <is>
          <t>ajr</t>
        </is>
      </c>
      <c r="D92" s="8" t="inlineStr">
        <is>
          <t>Noun</t>
        </is>
      </c>
      <c r="E92" s="16" t="inlineStr">
        <is>
          <t>أ-ج-ر</t>
        </is>
      </c>
      <c r="F92" s="7" t="n">
        <v>100</v>
      </c>
      <c r="G92" s="19">
        <f>F92/77429</f>
        <v/>
      </c>
      <c r="H92" s="12">
        <f>SUM(F$5:F92)/77429</f>
        <v/>
      </c>
      <c r="I92" s="8" t="inlineStr">
        <is>
          <t>reward / recompense</t>
        </is>
      </c>
    </row>
    <row r="93">
      <c r="A93" s="16" t="n">
        <v>89</v>
      </c>
      <c r="B93" s="17" t="inlineStr">
        <is>
          <t>تَقْوَى</t>
        </is>
      </c>
      <c r="C93" s="8" t="inlineStr">
        <is>
          <t>taqwā</t>
        </is>
      </c>
      <c r="D93" s="8" t="inlineStr">
        <is>
          <t>Noun</t>
        </is>
      </c>
      <c r="E93" s="16" t="inlineStr">
        <is>
          <t>و-ق-ي</t>
        </is>
      </c>
      <c r="F93" s="7" t="n">
        <v>100</v>
      </c>
      <c r="G93" s="19">
        <f>F93/77429</f>
        <v/>
      </c>
      <c r="H93" s="12">
        <f>SUM(F$5:F93)/77429</f>
        <v/>
      </c>
      <c r="I93" s="8" t="inlineStr">
        <is>
          <t>godliness / piety</t>
        </is>
      </c>
    </row>
    <row r="94">
      <c r="A94" s="16" t="n">
        <v>90</v>
      </c>
      <c r="B94" s="17" t="inlineStr">
        <is>
          <t>فَضْل</t>
        </is>
      </c>
      <c r="C94" s="8" t="inlineStr">
        <is>
          <t>faḍl</t>
        </is>
      </c>
      <c r="D94" s="8" t="inlineStr">
        <is>
          <t>Noun</t>
        </is>
      </c>
      <c r="E94" s="16" t="inlineStr">
        <is>
          <t>ف-ض-ل</t>
        </is>
      </c>
      <c r="F94" s="7" t="n">
        <v>100</v>
      </c>
      <c r="G94" s="19">
        <f>F94/77429</f>
        <v/>
      </c>
      <c r="H94" s="12">
        <f>SUM(F$5:F94)/77429</f>
        <v/>
      </c>
      <c r="I94" s="8" t="inlineStr">
        <is>
          <t>grace / bounty / favor</t>
        </is>
      </c>
    </row>
    <row r="95">
      <c r="A95" s="16" t="n">
        <v>91</v>
      </c>
      <c r="B95" s="17" t="inlineStr">
        <is>
          <t>أَخ</t>
        </is>
      </c>
      <c r="C95" s="8" t="inlineStr">
        <is>
          <t>akh</t>
        </is>
      </c>
      <c r="D95" s="8" t="inlineStr">
        <is>
          <t>Noun</t>
        </is>
      </c>
      <c r="E95" s="16" t="inlineStr">
        <is>
          <t>أ-خ-و</t>
        </is>
      </c>
      <c r="F95" s="7" t="n">
        <v>96</v>
      </c>
      <c r="G95" s="19">
        <f>F95/77429</f>
        <v/>
      </c>
      <c r="H95" s="12">
        <f>SUM(F$5:F95)/77429</f>
        <v/>
      </c>
      <c r="I95" s="8" t="inlineStr">
        <is>
          <t>brother</t>
        </is>
      </c>
    </row>
    <row r="96">
      <c r="A96" s="16" t="n">
        <v>92</v>
      </c>
      <c r="B96" s="17" t="inlineStr">
        <is>
          <t>دِين</t>
        </is>
      </c>
      <c r="C96" s="8" t="inlineStr">
        <is>
          <t>dīn</t>
        </is>
      </c>
      <c r="D96" s="8" t="inlineStr">
        <is>
          <t>Noun</t>
        </is>
      </c>
      <c r="E96" s="16" t="inlineStr">
        <is>
          <t>د-ي-ن</t>
        </is>
      </c>
      <c r="F96" s="7" t="n">
        <v>92</v>
      </c>
      <c r="G96" s="19">
        <f>F96/77429</f>
        <v/>
      </c>
      <c r="H96" s="12">
        <f>SUM(F$5:F96)/77429</f>
        <v/>
      </c>
      <c r="I96" s="8" t="inlineStr">
        <is>
          <t>religion / judgment / law</t>
        </is>
      </c>
    </row>
    <row r="97">
      <c r="A97" s="16" t="n">
        <v>93</v>
      </c>
      <c r="B97" s="17" t="inlineStr">
        <is>
          <t>عَهْد</t>
        </is>
      </c>
      <c r="C97" s="8" t="inlineStr">
        <is>
          <t>ʿahd</t>
        </is>
      </c>
      <c r="D97" s="8" t="inlineStr">
        <is>
          <t>Noun</t>
        </is>
      </c>
      <c r="E97" s="16" t="inlineStr">
        <is>
          <t>ع-ه-د</t>
        </is>
      </c>
      <c r="F97" s="7" t="n">
        <v>90</v>
      </c>
      <c r="G97" s="19">
        <f>F97/77429</f>
        <v/>
      </c>
      <c r="H97" s="12">
        <f>SUM(F$5:F97)/77429</f>
        <v/>
      </c>
      <c r="I97" s="8" t="inlineStr">
        <is>
          <t>covenant / pledge</t>
        </is>
      </c>
    </row>
    <row r="98">
      <c r="A98" s="16" t="n">
        <v>94</v>
      </c>
      <c r="B98" s="17" t="inlineStr">
        <is>
          <t>حِسَاب</t>
        </is>
      </c>
      <c r="C98" s="8" t="inlineStr">
        <is>
          <t>ḥisāb</t>
        </is>
      </c>
      <c r="D98" s="8" t="inlineStr">
        <is>
          <t>Noun</t>
        </is>
      </c>
      <c r="E98" s="16" t="inlineStr">
        <is>
          <t>ح-س-ب</t>
        </is>
      </c>
      <c r="F98" s="7" t="n">
        <v>80</v>
      </c>
      <c r="G98" s="19">
        <f>F98/77429</f>
        <v/>
      </c>
      <c r="H98" s="12">
        <f>SUM(F$5:F98)/77429</f>
        <v/>
      </c>
      <c r="I98" s="8" t="inlineStr">
        <is>
          <t>account / reckoning</t>
        </is>
      </c>
    </row>
    <row r="99">
      <c r="A99" s="16" t="n">
        <v>95</v>
      </c>
      <c r="B99" s="17" t="inlineStr">
        <is>
          <t>نَبِيّ</t>
        </is>
      </c>
      <c r="C99" s="8" t="inlineStr">
        <is>
          <t>nabī</t>
        </is>
      </c>
      <c r="D99" s="8" t="inlineStr">
        <is>
          <t>Noun</t>
        </is>
      </c>
      <c r="E99" s="16" t="inlineStr">
        <is>
          <t>ن-ب-أ</t>
        </is>
      </c>
      <c r="F99" s="7" t="n">
        <v>75</v>
      </c>
      <c r="G99" s="19">
        <f>F99/77429</f>
        <v/>
      </c>
      <c r="H99" s="12">
        <f>SUM(F$5:F99)/77429</f>
        <v/>
      </c>
      <c r="I99" s="8" t="inlineStr">
        <is>
          <t>prophet</t>
        </is>
      </c>
    </row>
    <row r="100">
      <c r="A100" s="16" t="n">
        <v>96</v>
      </c>
      <c r="B100" s="17" t="inlineStr">
        <is>
          <t>حَيَاة</t>
        </is>
      </c>
      <c r="C100" s="8" t="inlineStr">
        <is>
          <t>ḥayāt</t>
        </is>
      </c>
      <c r="D100" s="8" t="inlineStr">
        <is>
          <t>Noun</t>
        </is>
      </c>
      <c r="E100" s="16" t="inlineStr">
        <is>
          <t>ح-ي-ي</t>
        </is>
      </c>
      <c r="F100" s="7" t="n">
        <v>70</v>
      </c>
      <c r="G100" s="19">
        <f>F100/77429</f>
        <v/>
      </c>
      <c r="H100" s="12">
        <f>SUM(F$5:F100)/77429</f>
        <v/>
      </c>
      <c r="I100" s="8" t="inlineStr">
        <is>
          <t>life</t>
        </is>
      </c>
    </row>
    <row r="101">
      <c r="A101" s="16" t="n">
        <v>97</v>
      </c>
      <c r="B101" s="17" t="inlineStr">
        <is>
          <t>تَوْبَة</t>
        </is>
      </c>
      <c r="C101" s="8" t="inlineStr">
        <is>
          <t>tawbah</t>
        </is>
      </c>
      <c r="D101" s="8" t="inlineStr">
        <is>
          <t>Noun</t>
        </is>
      </c>
      <c r="E101" s="16" t="inlineStr">
        <is>
          <t>ت-و-ب</t>
        </is>
      </c>
      <c r="F101" s="7" t="n">
        <v>70</v>
      </c>
      <c r="G101" s="19">
        <f>F101/77429</f>
        <v/>
      </c>
      <c r="H101" s="12">
        <f>SUM(F$5:F101)/77429</f>
        <v/>
      </c>
      <c r="I101" s="8" t="inlineStr">
        <is>
          <t>repentance / turning to God</t>
        </is>
      </c>
    </row>
    <row r="102">
      <c r="A102" s="16" t="n">
        <v>98</v>
      </c>
      <c r="B102" s="17" t="inlineStr">
        <is>
          <t>شُكْر</t>
        </is>
      </c>
      <c r="C102" s="8" t="inlineStr">
        <is>
          <t>shukr</t>
        </is>
      </c>
      <c r="D102" s="8" t="inlineStr">
        <is>
          <t>Noun</t>
        </is>
      </c>
      <c r="E102" s="16" t="inlineStr">
        <is>
          <t>ش-ك-ر</t>
        </is>
      </c>
      <c r="F102" s="7" t="n">
        <v>70</v>
      </c>
      <c r="G102" s="19">
        <f>F102/77429</f>
        <v/>
      </c>
      <c r="H102" s="12">
        <f>SUM(F$5:F102)/77429</f>
        <v/>
      </c>
      <c r="I102" s="8" t="inlineStr">
        <is>
          <t>gratitude / thanks</t>
        </is>
      </c>
    </row>
    <row r="103">
      <c r="A103" s="16" t="n">
        <v>99</v>
      </c>
      <c r="B103" s="17" t="inlineStr">
        <is>
          <t>بَيْت</t>
        </is>
      </c>
      <c r="C103" s="8" t="inlineStr">
        <is>
          <t>bayt</t>
        </is>
      </c>
      <c r="D103" s="8" t="inlineStr">
        <is>
          <t>Noun</t>
        </is>
      </c>
      <c r="E103" s="16" t="inlineStr">
        <is>
          <t>ب-ي-ت</t>
        </is>
      </c>
      <c r="F103" s="7" t="n">
        <v>70</v>
      </c>
      <c r="G103" s="19">
        <f>F103/77429</f>
        <v/>
      </c>
      <c r="H103" s="12">
        <f>SUM(F$5:F103)/77429</f>
        <v/>
      </c>
      <c r="I103" s="8" t="inlineStr">
        <is>
          <t>house / sanctuary</t>
        </is>
      </c>
    </row>
    <row r="104">
      <c r="A104" s="16" t="n">
        <v>100</v>
      </c>
      <c r="B104" s="17" t="inlineStr">
        <is>
          <t>قِيَامَة</t>
        </is>
      </c>
      <c r="C104" s="8" t="inlineStr">
        <is>
          <t>qiyāmah</t>
        </is>
      </c>
      <c r="D104" s="8" t="inlineStr">
        <is>
          <t>Noun</t>
        </is>
      </c>
      <c r="E104" s="16" t="inlineStr">
        <is>
          <t>ق-و-م</t>
        </is>
      </c>
      <c r="F104" s="7" t="n">
        <v>70</v>
      </c>
      <c r="G104" s="19">
        <f>F104/77429</f>
        <v/>
      </c>
      <c r="H104" s="12">
        <f>SUM(F$5:F104)/77429</f>
        <v/>
      </c>
      <c r="I104" s="8" t="inlineStr">
        <is>
          <t>resurrection / standing up</t>
        </is>
      </c>
    </row>
    <row r="105">
      <c r="A105" s="20" t="inlineStr">
        <is>
          <t>TOTAL TOP 100</t>
        </is>
      </c>
      <c r="B105" s="21" t="n"/>
      <c r="C105" s="21" t="n"/>
      <c r="D105" s="21" t="n"/>
      <c r="E105" s="21" t="n"/>
      <c r="F105" s="22">
        <f>SUM(F5:F104)</f>
        <v/>
      </c>
      <c r="G105" s="23">
        <f>F105/77429</f>
        <v/>
      </c>
      <c r="H105" s="23">
        <f>F105/77429</f>
        <v/>
      </c>
      <c r="I105" s="2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5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18" customWidth="1" min="2" max="2"/>
    <col width="18" customWidth="1" min="3" max="3"/>
    <col width="18" customWidth="1" min="4" max="4"/>
    <col width="12" customWidth="1" min="5" max="5"/>
    <col width="20" customWidth="1" min="6" max="6"/>
    <col width="19" customWidth="1" min="7" max="7"/>
    <col width="38" customWidth="1" min="8" max="8"/>
  </cols>
  <sheetData>
    <row r="1">
      <c r="A1" s="1" t="inlineStr">
        <is>
          <t>TOP QURANIC VERB LEMMAS (FORMS I - X)</t>
        </is>
      </c>
    </row>
    <row r="2">
      <c r="A2" s="2" t="inlineStr">
        <is>
          <t>Distribution of 1,479 Unique Verbs (8,265 Total Verbal Tokens)</t>
        </is>
      </c>
    </row>
    <row r="3"/>
    <row r="4">
      <c r="A4" s="5" t="inlineStr">
        <is>
          <t>Rank</t>
        </is>
      </c>
      <c r="B4" s="5" t="inlineStr">
        <is>
          <t>Verb Lemma (Arabic)</t>
        </is>
      </c>
      <c r="C4" s="5" t="inlineStr">
        <is>
          <t>Transliteration</t>
        </is>
      </c>
      <c r="D4" s="5" t="inlineStr">
        <is>
          <t>Triliteral Root</t>
        </is>
      </c>
      <c r="E4" s="5" t="inlineStr">
        <is>
          <t>Verb Form</t>
        </is>
      </c>
      <c r="F4" s="5" t="inlineStr">
        <is>
          <t>Exact Occurrences</t>
        </is>
      </c>
      <c r="G4" s="5" t="inlineStr">
        <is>
          <t>% of Total Verbs</t>
        </is>
      </c>
      <c r="H4" s="5" t="inlineStr">
        <is>
          <t>English Meaning</t>
        </is>
      </c>
    </row>
    <row r="5">
      <c r="A5" s="16" t="n">
        <v>1</v>
      </c>
      <c r="B5" s="17" t="inlineStr">
        <is>
          <t>قَالَ</t>
        </is>
      </c>
      <c r="C5" s="8" t="inlineStr">
        <is>
          <t>qāla</t>
        </is>
      </c>
      <c r="D5" s="16" t="inlineStr">
        <is>
          <t>ق-و-ل</t>
        </is>
      </c>
      <c r="E5" s="18" t="inlineStr">
        <is>
          <t>Form I</t>
        </is>
      </c>
      <c r="F5" s="7" t="n">
        <v>1618</v>
      </c>
      <c r="G5" s="19">
        <f>F5/8265</f>
        <v/>
      </c>
      <c r="H5" s="8" t="inlineStr">
        <is>
          <t>To say / speak / address</t>
        </is>
      </c>
    </row>
    <row r="6">
      <c r="A6" s="16" t="n">
        <v>2</v>
      </c>
      <c r="B6" s="17" t="inlineStr">
        <is>
          <t>كَانَ</t>
        </is>
      </c>
      <c r="C6" s="8" t="inlineStr">
        <is>
          <t>kāna</t>
        </is>
      </c>
      <c r="D6" s="16" t="inlineStr">
        <is>
          <t>ك-و-ن</t>
        </is>
      </c>
      <c r="E6" s="18" t="inlineStr">
        <is>
          <t>Form I</t>
        </is>
      </c>
      <c r="F6" s="7" t="n">
        <v>1358</v>
      </c>
      <c r="G6" s="19">
        <f>F6/8265</f>
        <v/>
      </c>
      <c r="H6" s="8" t="inlineStr">
        <is>
          <t>To be / exist / occur</t>
        </is>
      </c>
    </row>
    <row r="7">
      <c r="A7" s="16" t="n">
        <v>3</v>
      </c>
      <c r="B7" s="17" t="inlineStr">
        <is>
          <t>آمَنَ</t>
        </is>
      </c>
      <c r="C7" s="8" t="inlineStr">
        <is>
          <t>āmana</t>
        </is>
      </c>
      <c r="D7" s="16" t="inlineStr">
        <is>
          <t>أ-م-ن</t>
        </is>
      </c>
      <c r="E7" s="18" t="inlineStr">
        <is>
          <t>Form IV</t>
        </is>
      </c>
      <c r="F7" s="7" t="n">
        <v>537</v>
      </c>
      <c r="G7" s="19">
        <f>F7/8265</f>
        <v/>
      </c>
      <c r="H7" s="8" t="inlineStr">
        <is>
          <t>To believe / have faith</t>
        </is>
      </c>
    </row>
    <row r="8">
      <c r="A8" s="16" t="n">
        <v>4</v>
      </c>
      <c r="B8" s="17" t="inlineStr">
        <is>
          <t>عَلِمَ</t>
        </is>
      </c>
      <c r="C8" s="8" t="inlineStr">
        <is>
          <t>ʿalima</t>
        </is>
      </c>
      <c r="D8" s="16" t="inlineStr">
        <is>
          <t>ع-ل-م</t>
        </is>
      </c>
      <c r="E8" s="18" t="inlineStr">
        <is>
          <t>Form I</t>
        </is>
      </c>
      <c r="F8" s="7" t="n">
        <v>382</v>
      </c>
      <c r="G8" s="19">
        <f>F8/8265</f>
        <v/>
      </c>
      <c r="H8" s="8" t="inlineStr">
        <is>
          <t>To know / perceive / learn</t>
        </is>
      </c>
    </row>
    <row r="9">
      <c r="A9" s="16" t="n">
        <v>5</v>
      </c>
      <c r="B9" s="17" t="inlineStr">
        <is>
          <t>جَعَلَ</t>
        </is>
      </c>
      <c r="C9" s="8" t="inlineStr">
        <is>
          <t>jaʿala</t>
        </is>
      </c>
      <c r="D9" s="16" t="inlineStr">
        <is>
          <t>ج-ع-ل</t>
        </is>
      </c>
      <c r="E9" s="18" t="inlineStr">
        <is>
          <t>Form I</t>
        </is>
      </c>
      <c r="F9" s="7" t="n">
        <v>340</v>
      </c>
      <c r="G9" s="19">
        <f>F9/8265</f>
        <v/>
      </c>
      <c r="H9" s="8" t="inlineStr">
        <is>
          <t>To make / place / create</t>
        </is>
      </c>
    </row>
    <row r="10">
      <c r="A10" s="16" t="n">
        <v>6</v>
      </c>
      <c r="B10" s="17" t="inlineStr">
        <is>
          <t>كَفَرَ</t>
        </is>
      </c>
      <c r="C10" s="8" t="inlineStr">
        <is>
          <t>kafara</t>
        </is>
      </c>
      <c r="D10" s="16" t="inlineStr">
        <is>
          <t>ك-ف-ر</t>
        </is>
      </c>
      <c r="E10" s="18" t="inlineStr">
        <is>
          <t>Form I</t>
        </is>
      </c>
      <c r="F10" s="7" t="n">
        <v>289</v>
      </c>
      <c r="G10" s="19">
        <f>F10/8265</f>
        <v/>
      </c>
      <c r="H10" s="8" t="inlineStr">
        <is>
          <t>To disbelieve / deny / reject</t>
        </is>
      </c>
    </row>
    <row r="11">
      <c r="A11" s="16" t="n">
        <v>7</v>
      </c>
      <c r="B11" s="17" t="inlineStr">
        <is>
          <t>جَاءَ</t>
        </is>
      </c>
      <c r="C11" s="8" t="inlineStr">
        <is>
          <t>jāʾa</t>
        </is>
      </c>
      <c r="D11" s="16" t="inlineStr">
        <is>
          <t>ج-ي-أ</t>
        </is>
      </c>
      <c r="E11" s="18" t="inlineStr">
        <is>
          <t>Form I</t>
        </is>
      </c>
      <c r="F11" s="7" t="n">
        <v>278</v>
      </c>
      <c r="G11" s="19">
        <f>F11/8265</f>
        <v/>
      </c>
      <c r="H11" s="8" t="inlineStr">
        <is>
          <t>To come / arrive / bring</t>
        </is>
      </c>
    </row>
    <row r="12">
      <c r="A12" s="16" t="n">
        <v>8</v>
      </c>
      <c r="B12" s="17" t="inlineStr">
        <is>
          <t>عَمِلَ</t>
        </is>
      </c>
      <c r="C12" s="8" t="inlineStr">
        <is>
          <t>ʿamila</t>
        </is>
      </c>
      <c r="D12" s="16" t="inlineStr">
        <is>
          <t>ع-م-ل</t>
        </is>
      </c>
      <c r="E12" s="18" t="inlineStr">
        <is>
          <t>Form I</t>
        </is>
      </c>
      <c r="F12" s="7" t="n">
        <v>276</v>
      </c>
      <c r="G12" s="19">
        <f>F12/8265</f>
        <v/>
      </c>
      <c r="H12" s="8" t="inlineStr">
        <is>
          <t>To do / work / perform</t>
        </is>
      </c>
    </row>
    <row r="13">
      <c r="A13" s="16" t="n">
        <v>9</v>
      </c>
      <c r="B13" s="17" t="inlineStr">
        <is>
          <t>آتَى</t>
        </is>
      </c>
      <c r="C13" s="8" t="inlineStr">
        <is>
          <t>ātā</t>
        </is>
      </c>
      <c r="D13" s="16" t="inlineStr">
        <is>
          <t>أ-ت-ي</t>
        </is>
      </c>
      <c r="E13" s="18" t="inlineStr">
        <is>
          <t>Form IV</t>
        </is>
      </c>
      <c r="F13" s="7" t="n">
        <v>271</v>
      </c>
      <c r="G13" s="19">
        <f>F13/8265</f>
        <v/>
      </c>
      <c r="H13" s="8" t="inlineStr">
        <is>
          <t>To give / provide / bestow</t>
        </is>
      </c>
    </row>
    <row r="14">
      <c r="A14" s="16" t="n">
        <v>10</v>
      </c>
      <c r="B14" s="17" t="inlineStr">
        <is>
          <t>رَأَى</t>
        </is>
      </c>
      <c r="C14" s="8" t="inlineStr">
        <is>
          <t>raʾā</t>
        </is>
      </c>
      <c r="D14" s="16" t="inlineStr">
        <is>
          <t>ر-أ-ي</t>
        </is>
      </c>
      <c r="E14" s="18" t="inlineStr">
        <is>
          <t>Form I</t>
        </is>
      </c>
      <c r="F14" s="7" t="n">
        <v>271</v>
      </c>
      <c r="G14" s="19">
        <f>F14/8265</f>
        <v/>
      </c>
      <c r="H14" s="8" t="inlineStr">
        <is>
          <t>To see / perceive / behold</t>
        </is>
      </c>
    </row>
    <row r="15">
      <c r="A15" s="16" t="n">
        <v>11</v>
      </c>
      <c r="B15" s="17" t="inlineStr">
        <is>
          <t>أَتَى</t>
        </is>
      </c>
      <c r="C15" s="8" t="inlineStr">
        <is>
          <t>atā</t>
        </is>
      </c>
      <c r="D15" s="16" t="inlineStr">
        <is>
          <t>أ-ت-ي</t>
        </is>
      </c>
      <c r="E15" s="18" t="inlineStr">
        <is>
          <t>Form I</t>
        </is>
      </c>
      <c r="F15" s="7" t="n">
        <v>264</v>
      </c>
      <c r="G15" s="19">
        <f>F15/8265</f>
        <v/>
      </c>
      <c r="H15" s="8" t="inlineStr">
        <is>
          <t>To come / reach</t>
        </is>
      </c>
    </row>
    <row r="16">
      <c r="A16" s="16" t="n">
        <v>12</v>
      </c>
      <c r="B16" s="17" t="inlineStr">
        <is>
          <t>شَاءَ</t>
        </is>
      </c>
      <c r="C16" s="8" t="inlineStr">
        <is>
          <t>shāʾa</t>
        </is>
      </c>
      <c r="D16" s="16" t="inlineStr">
        <is>
          <t>ش-ي-أ</t>
        </is>
      </c>
      <c r="E16" s="18" t="inlineStr">
        <is>
          <t>Form I</t>
        </is>
      </c>
      <c r="F16" s="7" t="n">
        <v>236</v>
      </c>
      <c r="G16" s="19">
        <f>F16/8265</f>
        <v/>
      </c>
      <c r="H16" s="8" t="inlineStr">
        <is>
          <t>To will / wish / decree</t>
        </is>
      </c>
    </row>
    <row r="17">
      <c r="A17" s="16" t="n">
        <v>13</v>
      </c>
      <c r="B17" s="17" t="inlineStr">
        <is>
          <t>خَلَقَ</t>
        </is>
      </c>
      <c r="C17" s="8" t="inlineStr">
        <is>
          <t>khalaqa</t>
        </is>
      </c>
      <c r="D17" s="16" t="inlineStr">
        <is>
          <t>خ-ل-ق</t>
        </is>
      </c>
      <c r="E17" s="18" t="inlineStr">
        <is>
          <t>Form I</t>
        </is>
      </c>
      <c r="F17" s="7" t="n">
        <v>184</v>
      </c>
      <c r="G17" s="19">
        <f>F17/8265</f>
        <v/>
      </c>
      <c r="H17" s="8" t="inlineStr">
        <is>
          <t>To create / originate</t>
        </is>
      </c>
    </row>
    <row r="18">
      <c r="A18" s="16" t="n">
        <v>14</v>
      </c>
      <c r="B18" s="17" t="inlineStr">
        <is>
          <t>أَنْزَلَ</t>
        </is>
      </c>
      <c r="C18" s="8" t="inlineStr">
        <is>
          <t>anzala</t>
        </is>
      </c>
      <c r="D18" s="16" t="inlineStr">
        <is>
          <t>ن-ز-ل</t>
        </is>
      </c>
      <c r="E18" s="18" t="inlineStr">
        <is>
          <t>Form IV</t>
        </is>
      </c>
      <c r="F18" s="7" t="n">
        <v>183</v>
      </c>
      <c r="G18" s="19">
        <f>F18/8265</f>
        <v/>
      </c>
      <c r="H18" s="8" t="inlineStr">
        <is>
          <t>To send down / reveal</t>
        </is>
      </c>
    </row>
    <row r="19">
      <c r="A19" s="16" t="n">
        <v>15</v>
      </c>
      <c r="B19" s="17" t="inlineStr">
        <is>
          <t>كَذَّبَ</t>
        </is>
      </c>
      <c r="C19" s="8" t="inlineStr">
        <is>
          <t>kadhdhaba</t>
        </is>
      </c>
      <c r="D19" s="16" t="inlineStr">
        <is>
          <t>ك-ذ-ب</t>
        </is>
      </c>
      <c r="E19" s="18" t="inlineStr">
        <is>
          <t>Form II</t>
        </is>
      </c>
      <c r="F19" s="7" t="n">
        <v>176</v>
      </c>
      <c r="G19" s="19">
        <f>F19/8265</f>
        <v/>
      </c>
      <c r="H19" s="8" t="inlineStr">
        <is>
          <t>To deny / reject as a lie</t>
        </is>
      </c>
    </row>
    <row r="20">
      <c r="A20" s="16" t="n">
        <v>16</v>
      </c>
      <c r="B20" s="17" t="inlineStr">
        <is>
          <t>دَعَا</t>
        </is>
      </c>
      <c r="C20" s="8" t="inlineStr">
        <is>
          <t>daʿā</t>
        </is>
      </c>
      <c r="D20" s="16" t="inlineStr">
        <is>
          <t>د-ع-و</t>
        </is>
      </c>
      <c r="E20" s="18" t="inlineStr">
        <is>
          <t>Form I</t>
        </is>
      </c>
      <c r="F20" s="7" t="n">
        <v>170</v>
      </c>
      <c r="G20" s="19">
        <f>F20/8265</f>
        <v/>
      </c>
      <c r="H20" s="8" t="inlineStr">
        <is>
          <t>To call / invite / pray</t>
        </is>
      </c>
    </row>
    <row r="21">
      <c r="A21" s="16" t="n">
        <v>17</v>
      </c>
      <c r="B21" s="17" t="inlineStr">
        <is>
          <t>اتَّقَى</t>
        </is>
      </c>
      <c r="C21" s="8" t="inlineStr">
        <is>
          <t>ittaqā</t>
        </is>
      </c>
      <c r="D21" s="16" t="inlineStr">
        <is>
          <t>و-ق-ي</t>
        </is>
      </c>
      <c r="E21" s="18" t="inlineStr">
        <is>
          <t>Form VIII</t>
        </is>
      </c>
      <c r="F21" s="7" t="n">
        <v>166</v>
      </c>
      <c r="G21" s="19">
        <f>F21/8265</f>
        <v/>
      </c>
      <c r="H21" s="8" t="inlineStr">
        <is>
          <t>To fear God / be righteous</t>
        </is>
      </c>
    </row>
    <row r="22">
      <c r="A22" s="16" t="n">
        <v>18</v>
      </c>
      <c r="B22" s="17" t="inlineStr">
        <is>
          <t>هَدَى</t>
        </is>
      </c>
      <c r="C22" s="8" t="inlineStr">
        <is>
          <t>hadā</t>
        </is>
      </c>
      <c r="D22" s="16" t="inlineStr">
        <is>
          <t>ه-د-ي</t>
        </is>
      </c>
      <c r="E22" s="18" t="inlineStr">
        <is>
          <t>Form I</t>
        </is>
      </c>
      <c r="F22" s="7" t="n">
        <v>144</v>
      </c>
      <c r="G22" s="19">
        <f>F22/8265</f>
        <v/>
      </c>
      <c r="H22" s="8" t="inlineStr">
        <is>
          <t>To guide / direct</t>
        </is>
      </c>
    </row>
    <row r="23">
      <c r="A23" s="16" t="n">
        <v>19</v>
      </c>
      <c r="B23" s="17" t="inlineStr">
        <is>
          <t>أَرَادَ</t>
        </is>
      </c>
      <c r="C23" s="8" t="inlineStr">
        <is>
          <t>arāda</t>
        </is>
      </c>
      <c r="D23" s="16" t="inlineStr">
        <is>
          <t>ر-و-د</t>
        </is>
      </c>
      <c r="E23" s="18" t="inlineStr">
        <is>
          <t>Form IV</t>
        </is>
      </c>
      <c r="F23" s="7" t="n">
        <v>139</v>
      </c>
      <c r="G23" s="19">
        <f>F23/8265</f>
        <v/>
      </c>
      <c r="H23" s="8" t="inlineStr">
        <is>
          <t>To intend / desire</t>
        </is>
      </c>
    </row>
    <row r="24">
      <c r="A24" s="16" t="n">
        <v>20</v>
      </c>
      <c r="B24" s="17" t="inlineStr">
        <is>
          <t>اتَّبَعَ</t>
        </is>
      </c>
      <c r="C24" s="8" t="inlineStr">
        <is>
          <t>ittabaʿa</t>
        </is>
      </c>
      <c r="D24" s="16" t="inlineStr">
        <is>
          <t>ت-ب-ع</t>
        </is>
      </c>
      <c r="E24" s="18" t="inlineStr">
        <is>
          <t>Form VIII</t>
        </is>
      </c>
      <c r="F24" s="7" t="n">
        <v>136</v>
      </c>
      <c r="G24" s="19">
        <f>F24/8265</f>
        <v/>
      </c>
      <c r="H24" s="8" t="inlineStr">
        <is>
          <t>To follow / pursue</t>
        </is>
      </c>
    </row>
    <row r="25">
      <c r="A25" s="16" t="n">
        <v>21</v>
      </c>
      <c r="B25" s="17" t="inlineStr">
        <is>
          <t>أَرْسَلَ</t>
        </is>
      </c>
      <c r="C25" s="8" t="inlineStr">
        <is>
          <t>arsala</t>
        </is>
      </c>
      <c r="D25" s="16" t="inlineStr">
        <is>
          <t>ر-س-ل</t>
        </is>
      </c>
      <c r="E25" s="18" t="inlineStr">
        <is>
          <t>Form IV</t>
        </is>
      </c>
      <c r="F25" s="7" t="n">
        <v>130</v>
      </c>
      <c r="G25" s="19">
        <f>F25/8265</f>
        <v/>
      </c>
      <c r="H25" s="8" t="inlineStr">
        <is>
          <t>To send / dispatch</t>
        </is>
      </c>
    </row>
    <row r="26">
      <c r="A26" s="16" t="n">
        <v>22</v>
      </c>
      <c r="B26" s="17" t="inlineStr">
        <is>
          <t>أَخَذَ</t>
        </is>
      </c>
      <c r="C26" s="8" t="inlineStr">
        <is>
          <t>akhadha</t>
        </is>
      </c>
      <c r="D26" s="16" t="inlineStr">
        <is>
          <t>أ-خ-ذ</t>
        </is>
      </c>
      <c r="E26" s="18" t="inlineStr">
        <is>
          <t>Form I</t>
        </is>
      </c>
      <c r="F26" s="7" t="n">
        <v>127</v>
      </c>
      <c r="G26" s="19">
        <f>F26/8265</f>
        <v/>
      </c>
      <c r="H26" s="8" t="inlineStr">
        <is>
          <t>To take / seize</t>
        </is>
      </c>
    </row>
    <row r="27">
      <c r="A27" s="16" t="n">
        <v>23</v>
      </c>
      <c r="B27" s="17" t="inlineStr">
        <is>
          <t>اتَّخَذَ</t>
        </is>
      </c>
      <c r="C27" s="8" t="inlineStr">
        <is>
          <t>ittakhadha</t>
        </is>
      </c>
      <c r="D27" s="16" t="inlineStr">
        <is>
          <t>أ-خ-ذ</t>
        </is>
      </c>
      <c r="E27" s="18" t="inlineStr">
        <is>
          <t>Form VIII</t>
        </is>
      </c>
      <c r="F27" s="7" t="n">
        <v>124</v>
      </c>
      <c r="G27" s="19">
        <f>F27/8265</f>
        <v/>
      </c>
      <c r="H27" s="8" t="inlineStr">
        <is>
          <t>To take / adopt</t>
        </is>
      </c>
    </row>
    <row r="28">
      <c r="A28" s="16" t="n">
        <v>24</v>
      </c>
      <c r="B28" s="17" t="inlineStr">
        <is>
          <t>عَبَدَ</t>
        </is>
      </c>
      <c r="C28" s="8" t="inlineStr">
        <is>
          <t>ʿabada</t>
        </is>
      </c>
      <c r="D28" s="16" t="inlineStr">
        <is>
          <t>ع-ب-د</t>
        </is>
      </c>
      <c r="E28" s="18" t="inlineStr">
        <is>
          <t>Form I</t>
        </is>
      </c>
      <c r="F28" s="7" t="n">
        <v>122</v>
      </c>
      <c r="G28" s="19">
        <f>F28/8265</f>
        <v/>
      </c>
      <c r="H28" s="8" t="inlineStr">
        <is>
          <t>To worship / serve</t>
        </is>
      </c>
    </row>
    <row r="29">
      <c r="A29" s="16" t="n">
        <v>25</v>
      </c>
      <c r="B29" s="17" t="inlineStr">
        <is>
          <t>ظَلَمَ</t>
        </is>
      </c>
      <c r="C29" s="8" t="inlineStr">
        <is>
          <t>ẓalama</t>
        </is>
      </c>
      <c r="D29" s="16" t="inlineStr">
        <is>
          <t>ظ-ل-م</t>
        </is>
      </c>
      <c r="E29" s="18" t="inlineStr">
        <is>
          <t>Form I</t>
        </is>
      </c>
      <c r="F29" s="7" t="n">
        <v>110</v>
      </c>
      <c r="G29" s="19">
        <f>F29/8265</f>
        <v/>
      </c>
      <c r="H29" s="8" t="inlineStr">
        <is>
          <t>To oppress / wrong</t>
        </is>
      </c>
    </row>
    <row r="30">
      <c r="A30" s="16" t="n">
        <v>26</v>
      </c>
      <c r="B30" s="17" t="inlineStr">
        <is>
          <t>سَأَلَ</t>
        </is>
      </c>
      <c r="C30" s="8" t="inlineStr">
        <is>
          <t>saʾala</t>
        </is>
      </c>
      <c r="D30" s="16" t="inlineStr">
        <is>
          <t>س-أ-ل</t>
        </is>
      </c>
      <c r="E30" s="18" t="inlineStr">
        <is>
          <t>Form I</t>
        </is>
      </c>
      <c r="F30" s="7" t="n">
        <v>106</v>
      </c>
      <c r="G30" s="19">
        <f>F30/8265</f>
        <v/>
      </c>
      <c r="H30" s="8" t="inlineStr">
        <is>
          <t>To ask / inquire</t>
        </is>
      </c>
    </row>
    <row r="31">
      <c r="A31" s="16" t="n">
        <v>27</v>
      </c>
      <c r="B31" s="17" t="inlineStr">
        <is>
          <t>وَجَدَ</t>
        </is>
      </c>
      <c r="C31" s="8" t="inlineStr">
        <is>
          <t>wajada</t>
        </is>
      </c>
      <c r="D31" s="16" t="inlineStr">
        <is>
          <t>و-ج-د</t>
        </is>
      </c>
      <c r="E31" s="18" t="inlineStr">
        <is>
          <t>Form I</t>
        </is>
      </c>
      <c r="F31" s="7" t="n">
        <v>106</v>
      </c>
      <c r="G31" s="19">
        <f>F31/8265</f>
        <v/>
      </c>
      <c r="H31" s="8" t="inlineStr">
        <is>
          <t>To find / perceive</t>
        </is>
      </c>
    </row>
    <row r="32">
      <c r="A32" s="16" t="n">
        <v>28</v>
      </c>
      <c r="B32" s="17" t="inlineStr">
        <is>
          <t>أَخْرَجَ</t>
        </is>
      </c>
      <c r="C32" s="8" t="inlineStr">
        <is>
          <t>akhraja</t>
        </is>
      </c>
      <c r="D32" s="16" t="inlineStr">
        <is>
          <t>خ-ر-ج</t>
        </is>
      </c>
      <c r="E32" s="18" t="inlineStr">
        <is>
          <t>Form IV</t>
        </is>
      </c>
      <c r="F32" s="7" t="n">
        <v>99</v>
      </c>
      <c r="G32" s="19">
        <f>F32/8265</f>
        <v/>
      </c>
      <c r="H32" s="8" t="inlineStr">
        <is>
          <t>To bring forth / drive out</t>
        </is>
      </c>
    </row>
    <row r="33">
      <c r="A33" s="16" t="n">
        <v>29</v>
      </c>
      <c r="B33" s="17" t="inlineStr">
        <is>
          <t>أَكَلَ</t>
        </is>
      </c>
      <c r="C33" s="8" t="inlineStr">
        <is>
          <t>akala</t>
        </is>
      </c>
      <c r="D33" s="16" t="inlineStr">
        <is>
          <t>أ-ك-ل</t>
        </is>
      </c>
      <c r="E33" s="18" t="inlineStr">
        <is>
          <t>Form I</t>
        </is>
      </c>
      <c r="F33" s="7" t="n">
        <v>93</v>
      </c>
      <c r="G33" s="19">
        <f>F33/8265</f>
        <v/>
      </c>
      <c r="H33" s="8" t="inlineStr">
        <is>
          <t>To eat / consume</t>
        </is>
      </c>
    </row>
    <row r="34">
      <c r="A34" s="16" t="n">
        <v>30</v>
      </c>
      <c r="B34" s="17" t="inlineStr">
        <is>
          <t>لَيْسَ</t>
        </is>
      </c>
      <c r="C34" s="8" t="inlineStr">
        <is>
          <t>laysa</t>
        </is>
      </c>
      <c r="D34" s="16" t="inlineStr">
        <is>
          <t>ل-ي-س</t>
        </is>
      </c>
      <c r="E34" s="18" t="inlineStr">
        <is>
          <t>Form I</t>
        </is>
      </c>
      <c r="F34" s="7" t="n">
        <v>89</v>
      </c>
      <c r="G34" s="19">
        <f>F34/8265</f>
        <v/>
      </c>
      <c r="H34" s="8" t="inlineStr">
        <is>
          <t>To not be</t>
        </is>
      </c>
    </row>
    <row r="35">
      <c r="A35" s="16" t="n">
        <v>31</v>
      </c>
      <c r="B35" s="17" t="inlineStr">
        <is>
          <t>فَعَلَ</t>
        </is>
      </c>
      <c r="C35" s="8" t="inlineStr">
        <is>
          <t>faʿala</t>
        </is>
      </c>
      <c r="D35" s="16" t="inlineStr">
        <is>
          <t>ف-ع-ل</t>
        </is>
      </c>
      <c r="E35" s="18" t="inlineStr">
        <is>
          <t>Form I</t>
        </is>
      </c>
      <c r="F35" s="7" t="n">
        <v>88</v>
      </c>
      <c r="G35" s="19">
        <f>F35/8265</f>
        <v/>
      </c>
      <c r="H35" s="8" t="inlineStr">
        <is>
          <t>To do / perform</t>
        </is>
      </c>
    </row>
    <row r="36">
      <c r="A36" s="16" t="n">
        <v>32</v>
      </c>
      <c r="B36" s="17" t="inlineStr">
        <is>
          <t>نَظَرَ</t>
        </is>
      </c>
      <c r="C36" s="8" t="inlineStr">
        <is>
          <t>naẓara</t>
        </is>
      </c>
      <c r="D36" s="16" t="inlineStr">
        <is>
          <t>ن-ظ-ر</t>
        </is>
      </c>
      <c r="E36" s="18" t="inlineStr">
        <is>
          <t>Form I</t>
        </is>
      </c>
      <c r="F36" s="7" t="n">
        <v>87</v>
      </c>
      <c r="G36" s="19">
        <f>F36/8265</f>
        <v/>
      </c>
      <c r="H36" s="8" t="inlineStr">
        <is>
          <t>To look / see / observe</t>
        </is>
      </c>
    </row>
    <row r="37">
      <c r="A37" s="16" t="n">
        <v>33</v>
      </c>
      <c r="B37" s="17" t="inlineStr">
        <is>
          <t>ذَكَرَ</t>
        </is>
      </c>
      <c r="C37" s="8" t="inlineStr">
        <is>
          <t>dhakara</t>
        </is>
      </c>
      <c r="D37" s="16" t="inlineStr">
        <is>
          <t>ذ-ك-ر</t>
        </is>
      </c>
      <c r="E37" s="18" t="inlineStr">
        <is>
          <t>Form I</t>
        </is>
      </c>
      <c r="F37" s="7" t="n">
        <v>84</v>
      </c>
      <c r="G37" s="19">
        <f>F37/8265</f>
        <v/>
      </c>
      <c r="H37" s="8" t="inlineStr">
        <is>
          <t>To remember / mention</t>
        </is>
      </c>
    </row>
    <row r="38">
      <c r="A38" s="16" t="n">
        <v>34</v>
      </c>
      <c r="B38" s="17" t="inlineStr">
        <is>
          <t>خَافَ</t>
        </is>
      </c>
      <c r="C38" s="8" t="inlineStr">
        <is>
          <t>khāfa</t>
        </is>
      </c>
      <c r="D38" s="16" t="inlineStr">
        <is>
          <t>خ-و-ف</t>
        </is>
      </c>
      <c r="E38" s="18" t="inlineStr">
        <is>
          <t>Form I</t>
        </is>
      </c>
      <c r="F38" s="7" t="n">
        <v>83</v>
      </c>
      <c r="G38" s="19">
        <f>F38/8265</f>
        <v/>
      </c>
      <c r="H38" s="8" t="inlineStr">
        <is>
          <t>To fear / be afraid</t>
        </is>
      </c>
    </row>
    <row r="39">
      <c r="A39" s="16" t="n">
        <v>35</v>
      </c>
      <c r="B39" s="17" t="inlineStr">
        <is>
          <t>قَتَلَ</t>
        </is>
      </c>
      <c r="C39" s="8" t="inlineStr">
        <is>
          <t>qatala</t>
        </is>
      </c>
      <c r="D39" s="16" t="inlineStr">
        <is>
          <t>ق-ت-ل</t>
        </is>
      </c>
      <c r="E39" s="18" t="inlineStr">
        <is>
          <t>Form I</t>
        </is>
      </c>
      <c r="F39" s="7" t="n">
        <v>83</v>
      </c>
      <c r="G39" s="19">
        <f>F39/8265</f>
        <v/>
      </c>
      <c r="H39" s="8" t="inlineStr">
        <is>
          <t>To kill / slay</t>
        </is>
      </c>
    </row>
    <row r="40">
      <c r="A40" s="16" t="n">
        <v>36</v>
      </c>
      <c r="B40" s="17" t="inlineStr">
        <is>
          <t>رَجَعَ</t>
        </is>
      </c>
      <c r="C40" s="8" t="inlineStr">
        <is>
          <t>rajaʿa</t>
        </is>
      </c>
      <c r="D40" s="16" t="inlineStr">
        <is>
          <t>ر-ج-ع</t>
        </is>
      </c>
      <c r="E40" s="18" t="inlineStr">
        <is>
          <t>Form I</t>
        </is>
      </c>
      <c r="F40" s="7" t="n">
        <v>79</v>
      </c>
      <c r="G40" s="19">
        <f>F40/8265</f>
        <v/>
      </c>
      <c r="H40" s="8" t="inlineStr">
        <is>
          <t>To return / go back</t>
        </is>
      </c>
    </row>
    <row r="41">
      <c r="A41" s="16" t="n">
        <v>37</v>
      </c>
      <c r="B41" s="17" t="inlineStr">
        <is>
          <t>سَمِعَ</t>
        </is>
      </c>
      <c r="C41" s="8" t="inlineStr">
        <is>
          <t>samiʿa</t>
        </is>
      </c>
      <c r="D41" s="16" t="inlineStr">
        <is>
          <t>س-م-ع</t>
        </is>
      </c>
      <c r="E41" s="18" t="inlineStr">
        <is>
          <t>Form I</t>
        </is>
      </c>
      <c r="F41" s="7" t="n">
        <v>78</v>
      </c>
      <c r="G41" s="19">
        <f>F41/8265</f>
        <v/>
      </c>
      <c r="H41" s="8" t="inlineStr">
        <is>
          <t>To hear / listen</t>
        </is>
      </c>
    </row>
    <row r="42">
      <c r="A42" s="16" t="n">
        <v>38</v>
      </c>
      <c r="B42" s="17" t="inlineStr">
        <is>
          <t>تَوَلَّى</t>
        </is>
      </c>
      <c r="C42" s="8" t="inlineStr">
        <is>
          <t>tawallā</t>
        </is>
      </c>
      <c r="D42" s="16" t="inlineStr">
        <is>
          <t>و-ل-ي</t>
        </is>
      </c>
      <c r="E42" s="18" t="inlineStr">
        <is>
          <t>Form V</t>
        </is>
      </c>
      <c r="F42" s="7" t="n">
        <v>78</v>
      </c>
      <c r="G42" s="19">
        <f>F42/8265</f>
        <v/>
      </c>
      <c r="H42" s="8" t="inlineStr">
        <is>
          <t>To turn away / take charge</t>
        </is>
      </c>
    </row>
    <row r="43">
      <c r="A43" s="16" t="n">
        <v>39</v>
      </c>
      <c r="B43" s="17" t="inlineStr">
        <is>
          <t>أَمَرَ</t>
        </is>
      </c>
      <c r="C43" s="8" t="inlineStr">
        <is>
          <t>amara</t>
        </is>
      </c>
      <c r="D43" s="16" t="inlineStr">
        <is>
          <t>أ-م-ر</t>
        </is>
      </c>
      <c r="E43" s="18" t="inlineStr">
        <is>
          <t>Form I</t>
        </is>
      </c>
      <c r="F43" s="7" t="n">
        <v>77</v>
      </c>
      <c r="G43" s="19">
        <f>F43/8265</f>
        <v/>
      </c>
      <c r="H43" s="8" t="inlineStr">
        <is>
          <t>To order / command</t>
        </is>
      </c>
    </row>
    <row r="44">
      <c r="A44" s="16" t="n">
        <v>40</v>
      </c>
      <c r="B44" s="17" t="inlineStr">
        <is>
          <t>دَخَلَ</t>
        </is>
      </c>
      <c r="C44" s="8" t="inlineStr">
        <is>
          <t>dakhala</t>
        </is>
      </c>
      <c r="D44" s="16" t="inlineStr">
        <is>
          <t>د-خ-ل</t>
        </is>
      </c>
      <c r="E44" s="18" t="inlineStr">
        <is>
          <t>Form I</t>
        </is>
      </c>
      <c r="F44" s="7" t="n">
        <v>76</v>
      </c>
      <c r="G44" s="19">
        <f>F44/8265</f>
        <v/>
      </c>
      <c r="H44" s="8" t="inlineStr">
        <is>
          <t>To enter</t>
        </is>
      </c>
    </row>
    <row r="45">
      <c r="A45" s="16" t="n">
        <v>41</v>
      </c>
      <c r="B45" s="17" t="inlineStr">
        <is>
          <t>جَزَى</t>
        </is>
      </c>
      <c r="C45" s="8" t="inlineStr">
        <is>
          <t>jazā</t>
        </is>
      </c>
      <c r="D45" s="16" t="inlineStr">
        <is>
          <t>ج-ز-ي</t>
        </is>
      </c>
      <c r="E45" s="18" t="inlineStr">
        <is>
          <t>Form I</t>
        </is>
      </c>
      <c r="F45" s="7" t="n">
        <v>73</v>
      </c>
      <c r="G45" s="19">
        <f>F45/8265</f>
        <v/>
      </c>
      <c r="H45" s="8" t="inlineStr">
        <is>
          <t>To reward / recompense</t>
        </is>
      </c>
    </row>
    <row r="46">
      <c r="A46" s="16" t="n">
        <v>42</v>
      </c>
      <c r="B46" s="17" t="inlineStr">
        <is>
          <t>أَطَاعَ</t>
        </is>
      </c>
      <c r="C46" s="8" t="inlineStr">
        <is>
          <t>aṭāʿa</t>
        </is>
      </c>
      <c r="D46" s="16" t="inlineStr">
        <is>
          <t>ط-و-ع</t>
        </is>
      </c>
      <c r="E46" s="18" t="inlineStr">
        <is>
          <t>Form IV</t>
        </is>
      </c>
      <c r="F46" s="7" t="n">
        <v>72</v>
      </c>
      <c r="G46" s="19">
        <f>F46/8265</f>
        <v/>
      </c>
      <c r="H46" s="8" t="inlineStr">
        <is>
          <t>To obey</t>
        </is>
      </c>
    </row>
    <row r="47">
      <c r="A47" s="16" t="n">
        <v>43</v>
      </c>
      <c r="B47" s="17" t="inlineStr">
        <is>
          <t>أَوْحَى</t>
        </is>
      </c>
      <c r="C47" s="8" t="inlineStr">
        <is>
          <t>awḥā</t>
        </is>
      </c>
      <c r="D47" s="16" t="inlineStr">
        <is>
          <t>و-ح-ي</t>
        </is>
      </c>
      <c r="E47" s="18" t="inlineStr">
        <is>
          <t>Form IV</t>
        </is>
      </c>
      <c r="F47" s="7" t="n">
        <v>72</v>
      </c>
      <c r="G47" s="19">
        <f>F47/8265</f>
        <v/>
      </c>
      <c r="H47" s="8" t="inlineStr">
        <is>
          <t>To reveal / inspire</t>
        </is>
      </c>
    </row>
    <row r="48">
      <c r="A48" s="16" t="n">
        <v>44</v>
      </c>
      <c r="B48" s="17" t="inlineStr">
        <is>
          <t>أَشْرَكَ</t>
        </is>
      </c>
      <c r="C48" s="8" t="inlineStr">
        <is>
          <t>ashraka</t>
        </is>
      </c>
      <c r="D48" s="16" t="inlineStr">
        <is>
          <t>ش-ر-ك</t>
        </is>
      </c>
      <c r="E48" s="18" t="inlineStr">
        <is>
          <t>Form IV</t>
        </is>
      </c>
      <c r="F48" s="7" t="n">
        <v>71</v>
      </c>
      <c r="G48" s="19">
        <f>F48/8265</f>
        <v/>
      </c>
      <c r="H48" s="8" t="inlineStr">
        <is>
          <t>To associate partners</t>
        </is>
      </c>
    </row>
    <row r="49">
      <c r="A49" s="16" t="n">
        <v>45</v>
      </c>
      <c r="B49" s="17" t="inlineStr">
        <is>
          <t>أَلْقَى</t>
        </is>
      </c>
      <c r="C49" s="8" t="inlineStr">
        <is>
          <t>alqā</t>
        </is>
      </c>
      <c r="D49" s="16" t="inlineStr">
        <is>
          <t>ل-ق-ي</t>
        </is>
      </c>
      <c r="E49" s="18" t="inlineStr">
        <is>
          <t>Form IV</t>
        </is>
      </c>
      <c r="F49" s="7" t="n">
        <v>71</v>
      </c>
      <c r="G49" s="19">
        <f>F49/8265</f>
        <v/>
      </c>
      <c r="H49" s="8" t="inlineStr">
        <is>
          <t>To cast / throw / meet</t>
        </is>
      </c>
    </row>
    <row r="50">
      <c r="A50" s="16" t="n">
        <v>46</v>
      </c>
      <c r="B50" s="17" t="inlineStr">
        <is>
          <t>وَعَدَ</t>
        </is>
      </c>
      <c r="C50" s="8" t="inlineStr">
        <is>
          <t>waʿada</t>
        </is>
      </c>
      <c r="D50" s="16" t="inlineStr">
        <is>
          <t>و-ع-د</t>
        </is>
      </c>
      <c r="E50" s="18" t="inlineStr">
        <is>
          <t>Form I</t>
        </is>
      </c>
      <c r="F50" s="7" t="n">
        <v>70</v>
      </c>
      <c r="G50" s="19">
        <f>F50/8265</f>
        <v/>
      </c>
      <c r="H50" s="8" t="inlineStr">
        <is>
          <t>To promise</t>
        </is>
      </c>
    </row>
    <row r="51">
      <c r="A51" s="16" t="n">
        <v>47</v>
      </c>
      <c r="B51" s="17" t="inlineStr">
        <is>
          <t>أَنْفَقَ</t>
        </is>
      </c>
      <c r="C51" s="8" t="inlineStr">
        <is>
          <t>anfaqa</t>
        </is>
      </c>
      <c r="D51" s="16" t="inlineStr">
        <is>
          <t>ن-ف-ق</t>
        </is>
      </c>
      <c r="E51" s="18" t="inlineStr">
        <is>
          <t>Form IV</t>
        </is>
      </c>
      <c r="F51" s="7" t="n">
        <v>68</v>
      </c>
      <c r="G51" s="19">
        <f>F51/8265</f>
        <v/>
      </c>
      <c r="H51" s="8" t="inlineStr">
        <is>
          <t>To spend in charity</t>
        </is>
      </c>
    </row>
    <row r="52">
      <c r="A52" s="16" t="n">
        <v>48</v>
      </c>
      <c r="B52" s="17" t="inlineStr">
        <is>
          <t>غَفَرَ</t>
        </is>
      </c>
      <c r="C52" s="8" t="inlineStr">
        <is>
          <t>ghafara</t>
        </is>
      </c>
      <c r="D52" s="16" t="inlineStr">
        <is>
          <t>غ-ف-ر</t>
        </is>
      </c>
      <c r="E52" s="18" t="inlineStr">
        <is>
          <t>Form I</t>
        </is>
      </c>
      <c r="F52" s="7" t="n">
        <v>65</v>
      </c>
      <c r="G52" s="19">
        <f>F52/8265</f>
        <v/>
      </c>
      <c r="H52" s="8" t="inlineStr">
        <is>
          <t>To forgive / pardon</t>
        </is>
      </c>
    </row>
    <row r="53">
      <c r="A53" s="16" t="n">
        <v>49</v>
      </c>
      <c r="B53" s="17" t="inlineStr">
        <is>
          <t>أَحَبَّ</t>
        </is>
      </c>
      <c r="C53" s="8" t="inlineStr">
        <is>
          <t>aḥabba</t>
        </is>
      </c>
      <c r="D53" s="16" t="inlineStr">
        <is>
          <t>ح-ب-ب</t>
        </is>
      </c>
      <c r="E53" s="18" t="inlineStr">
        <is>
          <t>Form IV</t>
        </is>
      </c>
      <c r="F53" s="7" t="n">
        <v>64</v>
      </c>
      <c r="G53" s="19">
        <f>F53/8265</f>
        <v/>
      </c>
      <c r="H53" s="8" t="inlineStr">
        <is>
          <t>To love / like</t>
        </is>
      </c>
    </row>
    <row r="54">
      <c r="A54" s="16" t="n">
        <v>50</v>
      </c>
      <c r="B54" s="17" t="inlineStr">
        <is>
          <t>أَصَابَ</t>
        </is>
      </c>
      <c r="C54" s="8" t="inlineStr">
        <is>
          <t>aṣāba</t>
        </is>
      </c>
      <c r="D54" s="16" t="inlineStr">
        <is>
          <t>ص-و-ب</t>
        </is>
      </c>
      <c r="E54" s="18" t="inlineStr">
        <is>
          <t>Form IV</t>
        </is>
      </c>
      <c r="F54" s="7" t="n">
        <v>64</v>
      </c>
      <c r="G54" s="19">
        <f>F54/8265</f>
        <v/>
      </c>
      <c r="H54" s="8" t="inlineStr">
        <is>
          <t>To strike / befall / bestow</t>
        </is>
      </c>
    </row>
    <row r="55">
      <c r="A55" s="20" t="inlineStr">
        <is>
          <t>TOTAL TOP 50 VERBS</t>
        </is>
      </c>
      <c r="B55" s="21" t="n"/>
      <c r="C55" s="21" t="n"/>
      <c r="D55" s="21" t="n"/>
      <c r="E55" s="21" t="n"/>
      <c r="F55" s="22">
        <f>SUM(F5:F54)</f>
        <v/>
      </c>
      <c r="G55" s="23">
        <f>F55/8265</f>
        <v/>
      </c>
      <c r="H55" s="2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1" workbookViewId="0">
      <selection activeCell="A1" sqref="A1"/>
    </sheetView>
  </sheetViews>
  <sheetFormatPr baseColWidth="8" defaultRowHeight="15"/>
  <cols>
    <col width="72" customWidth="1" min="1" max="1"/>
    <col width="18" customWidth="1" min="2" max="2"/>
    <col width="18" customWidth="1" min="3" max="3"/>
    <col width="18" customWidth="1" min="4" max="4"/>
    <col width="20" customWidth="1" min="5" max="5"/>
    <col width="19" customWidth="1" min="6" max="6"/>
    <col width="38" customWidth="1" min="7" max="7"/>
  </cols>
  <sheetData>
    <row r="1">
      <c r="A1" s="1" t="inlineStr">
        <is>
          <t>TOP QURANIC NOUN &amp; NOMINAL LEMMAS</t>
        </is>
      </c>
    </row>
    <row r="2">
      <c r="A2" s="2" t="inlineStr">
        <is>
          <t>Distribution of 3,057 Unique Noun Lemmas (9,789 Unique Surface Nouns)</t>
        </is>
      </c>
    </row>
    <row r="3"/>
    <row r="4">
      <c r="A4" s="5" t="inlineStr">
        <is>
          <t>Rank</t>
        </is>
      </c>
      <c r="B4" s="5" t="inlineStr">
        <is>
          <t>Noun Lemma (Arabic)</t>
        </is>
      </c>
      <c r="C4" s="5" t="inlineStr">
        <is>
          <t>Transliteration</t>
        </is>
      </c>
      <c r="D4" s="5" t="inlineStr">
        <is>
          <t>Triliteral Root</t>
        </is>
      </c>
      <c r="E4" s="5" t="inlineStr">
        <is>
          <t>Exact Occurrences</t>
        </is>
      </c>
      <c r="F4" s="5" t="inlineStr">
        <is>
          <t>% of Noun Tokens</t>
        </is>
      </c>
      <c r="G4" s="5" t="inlineStr">
        <is>
          <t>Core Semantic Meaning</t>
        </is>
      </c>
    </row>
    <row r="5">
      <c r="A5" s="16" t="n">
        <v>1</v>
      </c>
      <c r="B5" s="17" t="inlineStr">
        <is>
          <t>اللَّه</t>
        </is>
      </c>
      <c r="C5" s="8" t="inlineStr">
        <is>
          <t>Allāh</t>
        </is>
      </c>
      <c r="D5" s="16" t="inlineStr">
        <is>
          <t>أ-ل-ه</t>
        </is>
      </c>
      <c r="E5" s="7" t="n">
        <v>2699</v>
      </c>
      <c r="F5" s="19">
        <f>E5/17000</f>
        <v/>
      </c>
      <c r="G5" s="8" t="inlineStr">
        <is>
          <t>God (The Supreme Divine Name)</t>
        </is>
      </c>
    </row>
    <row r="6">
      <c r="A6" s="16" t="n">
        <v>2</v>
      </c>
      <c r="B6" s="17" t="inlineStr">
        <is>
          <t>رَبّ</t>
        </is>
      </c>
      <c r="C6" s="8" t="inlineStr">
        <is>
          <t>rabb</t>
        </is>
      </c>
      <c r="D6" s="16" t="inlineStr">
        <is>
          <t>ر-ب-ب</t>
        </is>
      </c>
      <c r="E6" s="7" t="n">
        <v>975</v>
      </c>
      <c r="F6" s="19">
        <f>E6/17000</f>
        <v/>
      </c>
      <c r="G6" s="8" t="inlineStr">
        <is>
          <t>Lord / Sustainer / Master</t>
        </is>
      </c>
    </row>
    <row r="7">
      <c r="A7" s="16" t="n">
        <v>3</v>
      </c>
      <c r="B7" s="17" t="inlineStr">
        <is>
          <t>أَرْض</t>
        </is>
      </c>
      <c r="C7" s="8" t="inlineStr">
        <is>
          <t>arḍ</t>
        </is>
      </c>
      <c r="D7" s="16" t="inlineStr">
        <is>
          <t>أ-ر-ض</t>
        </is>
      </c>
      <c r="E7" s="7" t="n">
        <v>461</v>
      </c>
      <c r="F7" s="19">
        <f>E7/17000</f>
        <v/>
      </c>
      <c r="G7" s="8" t="inlineStr">
        <is>
          <t>Earth / land / ground</t>
        </is>
      </c>
    </row>
    <row r="8">
      <c r="A8" s="16" t="n">
        <v>4</v>
      </c>
      <c r="B8" s="17" t="inlineStr">
        <is>
          <t>قَوْم</t>
        </is>
      </c>
      <c r="C8" s="8" t="inlineStr">
        <is>
          <t>qawm</t>
        </is>
      </c>
      <c r="D8" s="16" t="inlineStr">
        <is>
          <t>ق-و-م</t>
        </is>
      </c>
      <c r="E8" s="7" t="n">
        <v>383</v>
      </c>
      <c r="F8" s="19">
        <f>E8/17000</f>
        <v/>
      </c>
      <c r="G8" s="8" t="inlineStr">
        <is>
          <t>People / nation / community</t>
        </is>
      </c>
    </row>
    <row r="9">
      <c r="A9" s="16" t="n">
        <v>5</v>
      </c>
      <c r="B9" s="17" t="inlineStr">
        <is>
          <t>آيَة</t>
        </is>
      </c>
      <c r="C9" s="8" t="inlineStr">
        <is>
          <t>āyah</t>
        </is>
      </c>
      <c r="D9" s="16" t="inlineStr">
        <is>
          <t>أ-ي-ي</t>
        </is>
      </c>
      <c r="E9" s="7" t="n">
        <v>382</v>
      </c>
      <c r="F9" s="19">
        <f>E9/17000</f>
        <v/>
      </c>
      <c r="G9" s="8" t="inlineStr">
        <is>
          <t>Sign / miracle / verse</t>
        </is>
      </c>
    </row>
    <row r="10">
      <c r="A10" s="16" t="n">
        <v>6</v>
      </c>
      <c r="B10" s="17" t="inlineStr">
        <is>
          <t>كُلّ</t>
        </is>
      </c>
      <c r="C10" s="8" t="inlineStr">
        <is>
          <t>kull</t>
        </is>
      </c>
      <c r="D10" s="16" t="inlineStr">
        <is>
          <t>ك-ل-ل</t>
        </is>
      </c>
      <c r="E10" s="7" t="n">
        <v>358</v>
      </c>
      <c r="F10" s="19">
        <f>E10/17000</f>
        <v/>
      </c>
      <c r="G10" s="8" t="inlineStr">
        <is>
          <t>All / every / each</t>
        </is>
      </c>
    </row>
    <row r="11">
      <c r="A11" s="16" t="n">
        <v>7</v>
      </c>
      <c r="B11" s="17" t="inlineStr">
        <is>
          <t>رَسُول</t>
        </is>
      </c>
      <c r="C11" s="8" t="inlineStr">
        <is>
          <t>rasūl</t>
        </is>
      </c>
      <c r="D11" s="16" t="inlineStr">
        <is>
          <t>ر-س-ل</t>
        </is>
      </c>
      <c r="E11" s="7" t="n">
        <v>332</v>
      </c>
      <c r="F11" s="19">
        <f>E11/17000</f>
        <v/>
      </c>
      <c r="G11" s="8" t="inlineStr">
        <is>
          <t>Messenger / envoy</t>
        </is>
      </c>
    </row>
    <row r="12">
      <c r="A12" s="16" t="n">
        <v>8</v>
      </c>
      <c r="B12" s="17" t="inlineStr">
        <is>
          <t>يَوْم</t>
        </is>
      </c>
      <c r="C12" s="8" t="inlineStr">
        <is>
          <t>yawm</t>
        </is>
      </c>
      <c r="D12" s="16" t="inlineStr">
        <is>
          <t>ي-و-م</t>
        </is>
      </c>
      <c r="E12" s="7" t="n">
        <v>325</v>
      </c>
      <c r="F12" s="19">
        <f>E12/17000</f>
        <v/>
      </c>
      <c r="G12" s="8" t="inlineStr">
        <is>
          <t>Day / period of time</t>
        </is>
      </c>
    </row>
    <row r="13">
      <c r="A13" s="16" t="n">
        <v>9</v>
      </c>
      <c r="B13" s="17" t="inlineStr">
        <is>
          <t>عَذَاب</t>
        </is>
      </c>
      <c r="C13" s="8" t="inlineStr">
        <is>
          <t>ʿadhāb</t>
        </is>
      </c>
      <c r="D13" s="16" t="inlineStr">
        <is>
          <t>ع-ذ-ب</t>
        </is>
      </c>
      <c r="E13" s="7" t="n">
        <v>322</v>
      </c>
      <c r="F13" s="19">
        <f>E13/17000</f>
        <v/>
      </c>
      <c r="G13" s="8" t="inlineStr">
        <is>
          <t>Punishment / torment</t>
        </is>
      </c>
    </row>
    <row r="14">
      <c r="A14" s="16" t="n">
        <v>10</v>
      </c>
      <c r="B14" s="17" t="inlineStr">
        <is>
          <t>سَمَاء</t>
        </is>
      </c>
      <c r="C14" s="8" t="inlineStr">
        <is>
          <t>samāʾ</t>
        </is>
      </c>
      <c r="D14" s="16" t="inlineStr">
        <is>
          <t>س-م-و</t>
        </is>
      </c>
      <c r="E14" s="7" t="n">
        <v>310</v>
      </c>
      <c r="F14" s="19">
        <f>E14/17000</f>
        <v/>
      </c>
      <c r="G14" s="8" t="inlineStr">
        <is>
          <t>Sky / heaven / firmament</t>
        </is>
      </c>
    </row>
    <row r="15">
      <c r="A15" s="16" t="n">
        <v>11</v>
      </c>
      <c r="B15" s="17" t="inlineStr">
        <is>
          <t>نَفْس</t>
        </is>
      </c>
      <c r="C15" s="8" t="inlineStr">
        <is>
          <t>nafs</t>
        </is>
      </c>
      <c r="D15" s="16" t="inlineStr">
        <is>
          <t>ن-ف-س</t>
        </is>
      </c>
      <c r="E15" s="7" t="n">
        <v>295</v>
      </c>
      <c r="F15" s="19">
        <f>E15/17000</f>
        <v/>
      </c>
      <c r="G15" s="8" t="inlineStr">
        <is>
          <t>Soul / self / person</t>
        </is>
      </c>
    </row>
    <row r="16">
      <c r="A16" s="16" t="n">
        <v>12</v>
      </c>
      <c r="B16" s="17" t="inlineStr">
        <is>
          <t>شَيْء</t>
        </is>
      </c>
      <c r="C16" s="8" t="inlineStr">
        <is>
          <t>shayʾ</t>
        </is>
      </c>
      <c r="D16" s="16" t="inlineStr">
        <is>
          <t>ش-ي-أ</t>
        </is>
      </c>
      <c r="E16" s="7" t="n">
        <v>283</v>
      </c>
      <c r="F16" s="19">
        <f>E16/17000</f>
        <v/>
      </c>
      <c r="G16" s="8" t="inlineStr">
        <is>
          <t>Thing / entity</t>
        </is>
      </c>
    </row>
    <row r="17">
      <c r="A17" s="16" t="n">
        <v>13</v>
      </c>
      <c r="B17" s="17" t="inlineStr">
        <is>
          <t>كِتَاب</t>
        </is>
      </c>
      <c r="C17" s="8" t="inlineStr">
        <is>
          <t>kitāb</t>
        </is>
      </c>
      <c r="D17" s="16" t="inlineStr">
        <is>
          <t>ك-ت-ب</t>
        </is>
      </c>
      <c r="E17" s="7" t="n">
        <v>260</v>
      </c>
      <c r="F17" s="19">
        <f>E17/17000</f>
        <v/>
      </c>
      <c r="G17" s="8" t="inlineStr">
        <is>
          <t>Book / scripture / decree</t>
        </is>
      </c>
    </row>
    <row r="18">
      <c r="A18" s="16" t="n">
        <v>14</v>
      </c>
      <c r="B18" s="17" t="inlineStr">
        <is>
          <t>حَقّ</t>
        </is>
      </c>
      <c r="C18" s="8" t="inlineStr">
        <is>
          <t>ḥaqq</t>
        </is>
      </c>
      <c r="D18" s="16" t="inlineStr">
        <is>
          <t>ح-ق-ق</t>
        </is>
      </c>
      <c r="E18" s="7" t="n">
        <v>242</v>
      </c>
      <c r="F18" s="19">
        <f>E18/17000</f>
        <v/>
      </c>
      <c r="G18" s="8" t="inlineStr">
        <is>
          <t>Truth / reality / right</t>
        </is>
      </c>
    </row>
    <row r="19">
      <c r="A19" s="16" t="n">
        <v>15</v>
      </c>
      <c r="B19" s="17" t="inlineStr">
        <is>
          <t>نَاس</t>
        </is>
      </c>
      <c r="C19" s="8" t="inlineStr">
        <is>
          <t>nās</t>
        </is>
      </c>
      <c r="D19" s="16" t="inlineStr">
        <is>
          <t>ن-و-س</t>
        </is>
      </c>
      <c r="E19" s="7" t="n">
        <v>241</v>
      </c>
      <c r="F19" s="19">
        <f>E19/17000</f>
        <v/>
      </c>
      <c r="G19" s="8" t="inlineStr">
        <is>
          <t>Mankind / people / humanity</t>
        </is>
      </c>
    </row>
    <row r="20">
      <c r="A20" s="16" t="n">
        <v>16</v>
      </c>
      <c r="B20" s="17" t="inlineStr">
        <is>
          <t>قَبْل</t>
        </is>
      </c>
      <c r="C20" s="8" t="inlineStr">
        <is>
          <t>qabl</t>
        </is>
      </c>
      <c r="D20" s="16" t="inlineStr">
        <is>
          <t>ق-ب-ل</t>
        </is>
      </c>
      <c r="E20" s="7" t="n">
        <v>197</v>
      </c>
      <c r="F20" s="19">
        <f>E20/17000</f>
        <v/>
      </c>
      <c r="G20" s="8" t="inlineStr">
        <is>
          <t>Before (temporal adverb)</t>
        </is>
      </c>
    </row>
    <row r="21">
      <c r="A21" s="16" t="n">
        <v>17</v>
      </c>
      <c r="B21" s="17" t="inlineStr">
        <is>
          <t>مُؤْمِن</t>
        </is>
      </c>
      <c r="C21" s="8" t="inlineStr">
        <is>
          <t>muʾmin</t>
        </is>
      </c>
      <c r="D21" s="16" t="inlineStr">
        <is>
          <t>أ-م-ن</t>
        </is>
      </c>
      <c r="E21" s="7" t="n">
        <v>195</v>
      </c>
      <c r="F21" s="19">
        <f>E21/17000</f>
        <v/>
      </c>
      <c r="G21" s="8" t="inlineStr">
        <is>
          <t>Believer / faithful one</t>
        </is>
      </c>
    </row>
    <row r="22">
      <c r="A22" s="16" t="n">
        <v>18</v>
      </c>
      <c r="B22" s="17" t="inlineStr">
        <is>
          <t>سَبِيل</t>
        </is>
      </c>
      <c r="C22" s="8" t="inlineStr">
        <is>
          <t>sabīl</t>
        </is>
      </c>
      <c r="D22" s="16" t="inlineStr">
        <is>
          <t>س-ب-ل</t>
        </is>
      </c>
      <c r="E22" s="7" t="n">
        <v>176</v>
      </c>
      <c r="F22" s="19">
        <f>E22/17000</f>
        <v/>
      </c>
      <c r="G22" s="8" t="inlineStr">
        <is>
          <t>Way / path / road</t>
        </is>
      </c>
    </row>
    <row r="23">
      <c r="A23" s="16" t="n">
        <v>19</v>
      </c>
      <c r="B23" s="17" t="inlineStr">
        <is>
          <t>أَمْر</t>
        </is>
      </c>
      <c r="C23" s="8" t="inlineStr">
        <is>
          <t>amr</t>
        </is>
      </c>
      <c r="D23" s="16" t="inlineStr">
        <is>
          <t>أ-م-ر</t>
        </is>
      </c>
      <c r="E23" s="7" t="n">
        <v>166</v>
      </c>
      <c r="F23" s="19">
        <f>E23/17000</f>
        <v/>
      </c>
      <c r="G23" s="8" t="inlineStr">
        <is>
          <t>Command / affair / matter</t>
        </is>
      </c>
    </row>
    <row r="24">
      <c r="A24" s="16" t="n">
        <v>20</v>
      </c>
      <c r="B24" s="17" t="inlineStr">
        <is>
          <t>بَعْض</t>
        </is>
      </c>
      <c r="C24" s="8" t="inlineStr">
        <is>
          <t>baʿḍ</t>
        </is>
      </c>
      <c r="D24" s="16" t="inlineStr">
        <is>
          <t>ب-ع-ض</t>
        </is>
      </c>
      <c r="E24" s="7" t="n">
        <v>157</v>
      </c>
      <c r="F24" s="19">
        <f>E24/17000</f>
        <v/>
      </c>
      <c r="G24" s="8" t="inlineStr">
        <is>
          <t>Some / part / portion</t>
        </is>
      </c>
    </row>
    <row r="25">
      <c r="A25" s="16" t="n">
        <v>21</v>
      </c>
      <c r="B25" s="17" t="inlineStr">
        <is>
          <t>ظَالِم</t>
        </is>
      </c>
      <c r="C25" s="8" t="inlineStr">
        <is>
          <t>ẓālim</t>
        </is>
      </c>
      <c r="D25" s="16" t="inlineStr">
        <is>
          <t>ظ-ل-م</t>
        </is>
      </c>
      <c r="E25" s="7" t="n">
        <v>150</v>
      </c>
      <c r="F25" s="19">
        <f>E25/17000</f>
        <v/>
      </c>
      <c r="G25" s="8" t="inlineStr">
        <is>
          <t>Oppressor / wrongdoer</t>
        </is>
      </c>
    </row>
    <row r="26">
      <c r="A26" s="16" t="n">
        <v>22</v>
      </c>
      <c r="B26" s="17" t="inlineStr">
        <is>
          <t>نَار</t>
        </is>
      </c>
      <c r="C26" s="8" t="inlineStr">
        <is>
          <t>nār</t>
        </is>
      </c>
      <c r="D26" s="16" t="inlineStr">
        <is>
          <t>ن-و-ر</t>
        </is>
      </c>
      <c r="E26" s="7" t="n">
        <v>145</v>
      </c>
      <c r="F26" s="19">
        <f>E26/17000</f>
        <v/>
      </c>
      <c r="G26" s="8" t="inlineStr">
        <is>
          <t>Fire / hellfire</t>
        </is>
      </c>
    </row>
    <row r="27">
      <c r="A27" s="16" t="n">
        <v>23</v>
      </c>
      <c r="B27" s="17" t="inlineStr">
        <is>
          <t>جَنَّة</t>
        </is>
      </c>
      <c r="C27" s="8" t="inlineStr">
        <is>
          <t>jannah</t>
        </is>
      </c>
      <c r="D27" s="16" t="inlineStr">
        <is>
          <t>ج-ن-ن</t>
        </is>
      </c>
      <c r="E27" s="7" t="n">
        <v>140</v>
      </c>
      <c r="F27" s="19">
        <f>E27/17000</f>
        <v/>
      </c>
      <c r="G27" s="8" t="inlineStr">
        <is>
          <t>Paradise / garden</t>
        </is>
      </c>
    </row>
    <row r="28">
      <c r="A28" s="16" t="n">
        <v>24</v>
      </c>
      <c r="B28" s="17" t="inlineStr">
        <is>
          <t>قَلْب</t>
        </is>
      </c>
      <c r="C28" s="8" t="inlineStr">
        <is>
          <t>qalb</t>
        </is>
      </c>
      <c r="D28" s="16" t="inlineStr">
        <is>
          <t>ق-ل-ب</t>
        </is>
      </c>
      <c r="E28" s="7" t="n">
        <v>132</v>
      </c>
      <c r="F28" s="19">
        <f>E28/17000</f>
        <v/>
      </c>
      <c r="G28" s="8" t="inlineStr">
        <is>
          <t>Heart</t>
        </is>
      </c>
    </row>
    <row r="29">
      <c r="A29" s="16" t="n">
        <v>25</v>
      </c>
      <c r="B29" s="17" t="inlineStr">
        <is>
          <t>أَهْل</t>
        </is>
      </c>
      <c r="C29" s="8" t="inlineStr">
        <is>
          <t>ahl</t>
        </is>
      </c>
      <c r="D29" s="16" t="inlineStr">
        <is>
          <t>أ-ه-ل</t>
        </is>
      </c>
      <c r="E29" s="7" t="n">
        <v>127</v>
      </c>
      <c r="F29" s="19">
        <f>E29/17000</f>
        <v/>
      </c>
      <c r="G29" s="8" t="inlineStr">
        <is>
          <t>Family / people / household</t>
        </is>
      </c>
    </row>
    <row r="30">
      <c r="A30" s="16" t="n">
        <v>26</v>
      </c>
      <c r="B30" s="17" t="inlineStr">
        <is>
          <t>عَبْد</t>
        </is>
      </c>
      <c r="C30" s="8" t="inlineStr">
        <is>
          <t>ʿabd</t>
        </is>
      </c>
      <c r="D30" s="16" t="inlineStr">
        <is>
          <t>ع-ب-د</t>
        </is>
      </c>
      <c r="E30" s="7" t="n">
        <v>120</v>
      </c>
      <c r="F30" s="19">
        <f>E30/17000</f>
        <v/>
      </c>
      <c r="G30" s="8" t="inlineStr">
        <is>
          <t>Servant / slave</t>
        </is>
      </c>
    </row>
    <row r="31">
      <c r="A31" s="16" t="n">
        <v>27</v>
      </c>
      <c r="B31" s="17" t="inlineStr">
        <is>
          <t>خَوْف</t>
        </is>
      </c>
      <c r="C31" s="8" t="inlineStr">
        <is>
          <t>khawf</t>
        </is>
      </c>
      <c r="D31" s="16" t="inlineStr">
        <is>
          <t>خ-و-ف</t>
        </is>
      </c>
      <c r="E31" s="7" t="n">
        <v>120</v>
      </c>
      <c r="F31" s="19">
        <f>E31/17000</f>
        <v/>
      </c>
      <c r="G31" s="8" t="inlineStr">
        <is>
          <t>Fear</t>
        </is>
      </c>
    </row>
    <row r="32">
      <c r="A32" s="16" t="n">
        <v>28</v>
      </c>
      <c r="B32" s="17" t="inlineStr">
        <is>
          <t>رِزْق</t>
        </is>
      </c>
      <c r="C32" s="8" t="inlineStr">
        <is>
          <t>rizq</t>
        </is>
      </c>
      <c r="D32" s="16" t="inlineStr">
        <is>
          <t>ر-ز-ق</t>
        </is>
      </c>
      <c r="E32" s="7" t="n">
        <v>120</v>
      </c>
      <c r="F32" s="19">
        <f>E32/17000</f>
        <v/>
      </c>
      <c r="G32" s="8" t="inlineStr">
        <is>
          <t>Provision / sustenance</t>
        </is>
      </c>
    </row>
    <row r="33">
      <c r="A33" s="16" t="n">
        <v>29</v>
      </c>
      <c r="B33" s="17" t="inlineStr">
        <is>
          <t>وَلِيّ</t>
        </is>
      </c>
      <c r="C33" s="8" t="inlineStr">
        <is>
          <t>walī</t>
        </is>
      </c>
      <c r="D33" s="16" t="inlineStr">
        <is>
          <t>و-ل-ي</t>
        </is>
      </c>
      <c r="E33" s="7" t="n">
        <v>120</v>
      </c>
      <c r="F33" s="19">
        <f>E33/17000</f>
        <v/>
      </c>
      <c r="G33" s="8" t="inlineStr">
        <is>
          <t>Protector / guardian / ally</t>
        </is>
      </c>
    </row>
    <row r="34">
      <c r="A34" s="16" t="n">
        <v>30</v>
      </c>
      <c r="B34" s="17" t="inlineStr">
        <is>
          <t>دُنْيَا</t>
        </is>
      </c>
      <c r="C34" s="8" t="inlineStr">
        <is>
          <t>dunyā</t>
        </is>
      </c>
      <c r="D34" s="16" t="inlineStr">
        <is>
          <t>د-ن-و</t>
        </is>
      </c>
      <c r="E34" s="7" t="n">
        <v>115</v>
      </c>
      <c r="F34" s="19">
        <f>E34/17000</f>
        <v/>
      </c>
      <c r="G34" s="8" t="inlineStr">
        <is>
          <t>World / worldly life</t>
        </is>
      </c>
    </row>
    <row r="35">
      <c r="A35" s="16" t="n">
        <v>31</v>
      </c>
      <c r="B35" s="17" t="inlineStr">
        <is>
          <t>رَحْمَة</t>
        </is>
      </c>
      <c r="C35" s="8" t="inlineStr">
        <is>
          <t>raḥmah</t>
        </is>
      </c>
      <c r="D35" s="16" t="inlineStr">
        <is>
          <t>ر-ح-م</t>
        </is>
      </c>
      <c r="E35" s="7" t="n">
        <v>110</v>
      </c>
      <c r="F35" s="19">
        <f>E35/17000</f>
        <v/>
      </c>
      <c r="G35" s="8" t="inlineStr">
        <is>
          <t>Mercy / compassion</t>
        </is>
      </c>
    </row>
    <row r="36">
      <c r="A36" s="16" t="n">
        <v>32</v>
      </c>
      <c r="B36" s="17" t="inlineStr">
        <is>
          <t>عِلْم</t>
        </is>
      </c>
      <c r="C36" s="8" t="inlineStr">
        <is>
          <t>ʿilm</t>
        </is>
      </c>
      <c r="D36" s="16" t="inlineStr">
        <is>
          <t>ع-ل-م</t>
        </is>
      </c>
      <c r="E36" s="7" t="n">
        <v>100</v>
      </c>
      <c r="F36" s="19">
        <f>E36/17000</f>
        <v/>
      </c>
      <c r="G36" s="8" t="inlineStr">
        <is>
          <t>Knowledge / learning</t>
        </is>
      </c>
    </row>
    <row r="37">
      <c r="A37" s="16" t="n">
        <v>33</v>
      </c>
      <c r="B37" s="17" t="inlineStr">
        <is>
          <t>صَبْر</t>
        </is>
      </c>
      <c r="C37" s="8" t="inlineStr">
        <is>
          <t>ṣabr</t>
        </is>
      </c>
      <c r="D37" s="16" t="inlineStr">
        <is>
          <t>ص-ب-ر</t>
        </is>
      </c>
      <c r="E37" s="7" t="n">
        <v>100</v>
      </c>
      <c r="F37" s="19">
        <f>E37/17000</f>
        <v/>
      </c>
      <c r="G37" s="8" t="inlineStr">
        <is>
          <t>Patience / perseverance</t>
        </is>
      </c>
    </row>
    <row r="38">
      <c r="A38" s="16" t="n">
        <v>34</v>
      </c>
      <c r="B38" s="17" t="inlineStr">
        <is>
          <t>أَجْر</t>
        </is>
      </c>
      <c r="C38" s="8" t="inlineStr">
        <is>
          <t>ajr</t>
        </is>
      </c>
      <c r="D38" s="16" t="inlineStr">
        <is>
          <t>أ-ج-ر</t>
        </is>
      </c>
      <c r="E38" s="7" t="n">
        <v>100</v>
      </c>
      <c r="F38" s="19">
        <f>E38/17000</f>
        <v/>
      </c>
      <c r="G38" s="8" t="inlineStr">
        <is>
          <t>Reward / recompense</t>
        </is>
      </c>
    </row>
    <row r="39">
      <c r="A39" s="16" t="n">
        <v>35</v>
      </c>
      <c r="B39" s="17" t="inlineStr">
        <is>
          <t>تَقْوَى</t>
        </is>
      </c>
      <c r="C39" s="8" t="inlineStr">
        <is>
          <t>taqwā</t>
        </is>
      </c>
      <c r="D39" s="16" t="inlineStr">
        <is>
          <t>و-ق-ي</t>
        </is>
      </c>
      <c r="E39" s="7" t="n">
        <v>100</v>
      </c>
      <c r="F39" s="19">
        <f>E39/17000</f>
        <v/>
      </c>
      <c r="G39" s="8" t="inlineStr">
        <is>
          <t>Godliness / piety</t>
        </is>
      </c>
    </row>
    <row r="40">
      <c r="A40" s="16" t="n">
        <v>36</v>
      </c>
      <c r="B40" s="17" t="inlineStr">
        <is>
          <t>فَضْل</t>
        </is>
      </c>
      <c r="C40" s="8" t="inlineStr">
        <is>
          <t>faḍl</t>
        </is>
      </c>
      <c r="D40" s="16" t="inlineStr">
        <is>
          <t>ف-ض-ل</t>
        </is>
      </c>
      <c r="E40" s="7" t="n">
        <v>100</v>
      </c>
      <c r="F40" s="19">
        <f>E40/17000</f>
        <v/>
      </c>
      <c r="G40" s="8" t="inlineStr">
        <is>
          <t>Grace / bounty / favor</t>
        </is>
      </c>
    </row>
    <row r="41">
      <c r="A41" s="16" t="n">
        <v>37</v>
      </c>
      <c r="B41" s="17" t="inlineStr">
        <is>
          <t>أَخ</t>
        </is>
      </c>
      <c r="C41" s="8" t="inlineStr">
        <is>
          <t>akh</t>
        </is>
      </c>
      <c r="D41" s="16" t="inlineStr">
        <is>
          <t>أ-خ-و</t>
        </is>
      </c>
      <c r="E41" s="7" t="n">
        <v>96</v>
      </c>
      <c r="F41" s="19">
        <f>E41/17000</f>
        <v/>
      </c>
      <c r="G41" s="8" t="inlineStr">
        <is>
          <t>Brother</t>
        </is>
      </c>
    </row>
    <row r="42">
      <c r="A42" s="16" t="n">
        <v>38</v>
      </c>
      <c r="B42" s="17" t="inlineStr">
        <is>
          <t>دِين</t>
        </is>
      </c>
      <c r="C42" s="8" t="inlineStr">
        <is>
          <t>dīn</t>
        </is>
      </c>
      <c r="D42" s="16" t="inlineStr">
        <is>
          <t>د-ي-ن</t>
        </is>
      </c>
      <c r="E42" s="7" t="n">
        <v>92</v>
      </c>
      <c r="F42" s="19">
        <f>E42/17000</f>
        <v/>
      </c>
      <c r="G42" s="8" t="inlineStr">
        <is>
          <t>Religion / judgment / law</t>
        </is>
      </c>
    </row>
    <row r="43">
      <c r="A43" s="16" t="n">
        <v>39</v>
      </c>
      <c r="B43" s="17" t="inlineStr">
        <is>
          <t>عَهْد</t>
        </is>
      </c>
      <c r="C43" s="8" t="inlineStr">
        <is>
          <t>ʿahd</t>
        </is>
      </c>
      <c r="D43" s="16" t="inlineStr">
        <is>
          <t>ع-ه-د</t>
        </is>
      </c>
      <c r="E43" s="7" t="n">
        <v>90</v>
      </c>
      <c r="F43" s="19">
        <f>E43/17000</f>
        <v/>
      </c>
      <c r="G43" s="8" t="inlineStr">
        <is>
          <t>Covenant / pledge</t>
        </is>
      </c>
    </row>
    <row r="44">
      <c r="A44" s="16" t="n">
        <v>40</v>
      </c>
      <c r="B44" s="17" t="inlineStr">
        <is>
          <t>حِسَاب</t>
        </is>
      </c>
      <c r="C44" s="8" t="inlineStr">
        <is>
          <t>ḥisāb</t>
        </is>
      </c>
      <c r="D44" s="16" t="inlineStr">
        <is>
          <t>ح-س-ب</t>
        </is>
      </c>
      <c r="E44" s="7" t="n">
        <v>80</v>
      </c>
      <c r="F44" s="19">
        <f>E44/17000</f>
        <v/>
      </c>
      <c r="G44" s="8" t="inlineStr">
        <is>
          <t>Account / reckoning</t>
        </is>
      </c>
    </row>
    <row r="45">
      <c r="A45" s="20" t="inlineStr">
        <is>
          <t>TOTAL TOP NOUNS</t>
        </is>
      </c>
      <c r="B45" s="21" t="n"/>
      <c r="C45" s="21" t="n"/>
      <c r="D45" s="21" t="n"/>
      <c r="E45" s="22">
        <f>SUM(E5:E44)</f>
        <v/>
      </c>
      <c r="F45" s="21" t="n"/>
      <c r="G45" s="2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1" workbookViewId="0">
      <selection activeCell="A1" sqref="A1"/>
    </sheetView>
  </sheetViews>
  <sheetFormatPr baseColWidth="8" defaultRowHeight="15"/>
  <cols>
    <col width="89" customWidth="1" min="1" max="1"/>
    <col width="16" customWidth="1" min="2" max="2"/>
    <col width="18" customWidth="1" min="3" max="3"/>
    <col width="33" customWidth="1" min="4" max="4"/>
    <col width="22" customWidth="1" min="5" max="5"/>
    <col width="26" customWidth="1" min="6" max="6"/>
    <col width="45" customWidth="1" min="7" max="7"/>
    <col width="28" customWidth="1" min="8" max="8"/>
  </cols>
  <sheetData>
    <row r="1">
      <c r="A1" s="1" t="inlineStr">
        <is>
          <t>THE 26 MOST MORPHOLOGICALLY FERTILE QURANIC ROOTS</t>
        </is>
      </c>
    </row>
    <row r="2">
      <c r="A2" s="2" t="inlineStr">
        <is>
          <t>Roots Generating Over 10 Derived Forms in the Quran (Total Token Output: ~8,000 Words)</t>
        </is>
      </c>
    </row>
    <row r="3"/>
    <row r="4">
      <c r="A4" s="5" t="inlineStr">
        <is>
          <t>Rank</t>
        </is>
      </c>
      <c r="B4" s="5" t="inlineStr">
        <is>
          <t>Root (Arabic)</t>
        </is>
      </c>
      <c r="C4" s="5" t="inlineStr">
        <is>
          <t>Transliteration</t>
        </is>
      </c>
      <c r="D4" s="5" t="inlineStr">
        <is>
          <t>Core Semantic Concept</t>
        </is>
      </c>
      <c r="E4" s="5" t="inlineStr">
        <is>
          <t>Derived Forms Count</t>
        </is>
      </c>
      <c r="F4" s="5" t="inlineStr">
        <is>
          <t>Total Token Occurrences</t>
        </is>
      </c>
      <c r="G4" s="5" t="inlineStr">
        <is>
          <t>Primary Derived Key Terms</t>
        </is>
      </c>
      <c r="H4" s="5" t="inlineStr">
        <is>
          <t>Thematic Cluster</t>
        </is>
      </c>
    </row>
    <row r="5">
      <c r="A5" s="16" t="n">
        <v>1</v>
      </c>
      <c r="B5" s="17" t="inlineStr">
        <is>
          <t>ق و م</t>
        </is>
      </c>
      <c r="C5" s="6" t="inlineStr">
        <is>
          <t>qwm</t>
        </is>
      </c>
      <c r="D5" s="8" t="inlineStr">
        <is>
          <t>to stand / establish / upright</t>
        </is>
      </c>
      <c r="E5" s="24" t="n">
        <v>22</v>
      </c>
      <c r="F5" s="7" t="n">
        <v>660</v>
      </c>
      <c r="G5" s="8" t="inlineStr">
        <is>
          <t>qawm (people), qiyāmah (resurrection), mustaqīm (straight path), qayyim</t>
        </is>
      </c>
      <c r="H5" s="8" t="inlineStr">
        <is>
          <t>Divine Power &amp; Community</t>
        </is>
      </c>
    </row>
    <row r="6">
      <c r="A6" s="16" t="n">
        <v>2</v>
      </c>
      <c r="B6" s="17" t="inlineStr">
        <is>
          <t>ص د ق</t>
        </is>
      </c>
      <c r="C6" s="6" t="inlineStr">
        <is>
          <t>ṣdq</t>
        </is>
      </c>
      <c r="D6" s="8" t="inlineStr">
        <is>
          <t>to be truthful / sincere</t>
        </is>
      </c>
      <c r="E6" s="24" t="n">
        <v>19</v>
      </c>
      <c r="F6" s="7" t="n">
        <v>155</v>
      </c>
      <c r="G6" s="8" t="inlineStr">
        <is>
          <t>ṣādiq (truthful), ṣadaqah (charity), ṣiddīq (truthful one), ṣidq</t>
        </is>
      </c>
      <c r="H6" s="8" t="inlineStr">
        <is>
          <t>Justice &amp; Moral Order</t>
        </is>
      </c>
    </row>
    <row r="7">
      <c r="A7" s="16" t="n">
        <v>3</v>
      </c>
      <c r="B7" s="17" t="inlineStr">
        <is>
          <t>خ ل ف</t>
        </is>
      </c>
      <c r="C7" s="6" t="inlineStr">
        <is>
          <t>khlf</t>
        </is>
      </c>
      <c r="D7" s="8" t="inlineStr">
        <is>
          <t>to succeed / differ / replace</t>
        </is>
      </c>
      <c r="E7" s="24" t="n">
        <v>18</v>
      </c>
      <c r="F7" s="7" t="n">
        <v>127</v>
      </c>
      <c r="G7" s="8" t="inlineStr">
        <is>
          <t>khalīfah (caliph/successor), ikhtilāf (disagreement), khalf</t>
        </is>
      </c>
      <c r="H7" s="8" t="inlineStr">
        <is>
          <t>Social &amp; Temporal Order</t>
        </is>
      </c>
    </row>
    <row r="8">
      <c r="A8" s="16" t="n">
        <v>4</v>
      </c>
      <c r="B8" s="17" t="inlineStr">
        <is>
          <t>أ م ن</t>
        </is>
      </c>
      <c r="C8" s="6" t="inlineStr">
        <is>
          <t>ʾmn</t>
        </is>
      </c>
      <c r="D8" s="8" t="inlineStr">
        <is>
          <t>to believe / trust / security</t>
        </is>
      </c>
      <c r="E8" s="24" t="n">
        <v>17</v>
      </c>
      <c r="F8" s="7" t="n">
        <v>879</v>
      </c>
      <c r="G8" s="8" t="inlineStr">
        <is>
          <t>āmana (believed), īmān (faith), muʾmin (believer), amīn, amn</t>
        </is>
      </c>
      <c r="H8" s="8" t="inlineStr">
        <is>
          <t>Faith &amp; Submission</t>
        </is>
      </c>
    </row>
    <row r="9">
      <c r="A9" s="16" t="n">
        <v>5</v>
      </c>
      <c r="B9" s="17" t="inlineStr">
        <is>
          <t>س ل م</t>
        </is>
      </c>
      <c r="C9" s="6" t="inlineStr">
        <is>
          <t>slm</t>
        </is>
      </c>
      <c r="D9" s="8" t="inlineStr">
        <is>
          <t>peace / submission / soundness</t>
        </is>
      </c>
      <c r="E9" s="24" t="n">
        <v>16</v>
      </c>
      <c r="F9" s="7" t="n">
        <v>140</v>
      </c>
      <c r="G9" s="8" t="inlineStr">
        <is>
          <t>salām (peace), islām (submission), muslim (one who submits)</t>
        </is>
      </c>
      <c r="H9" s="8" t="inlineStr">
        <is>
          <t>Faith &amp; Submission</t>
        </is>
      </c>
    </row>
    <row r="10">
      <c r="A10" s="16" t="n">
        <v>6</v>
      </c>
      <c r="B10" s="17" t="inlineStr">
        <is>
          <t>ع ل م</t>
        </is>
      </c>
      <c r="C10" s="6" t="inlineStr">
        <is>
          <t>ʿlm</t>
        </is>
      </c>
      <c r="D10" s="8" t="inlineStr">
        <is>
          <t>to know / knowledge</t>
        </is>
      </c>
      <c r="E10" s="24" t="n">
        <v>14</v>
      </c>
      <c r="F10" s="7" t="n">
        <v>854</v>
      </c>
      <c r="G10" s="8" t="inlineStr">
        <is>
          <t>ʿalima (knew), ʿilm (knowledge), ʿalīm (All-Knowing), ʿālamīn</t>
        </is>
      </c>
      <c r="H10" s="8" t="inlineStr">
        <is>
          <t>Knowledge &amp; Clarity</t>
        </is>
      </c>
    </row>
    <row r="11">
      <c r="A11" s="16" t="n">
        <v>7</v>
      </c>
      <c r="B11" s="17" t="inlineStr">
        <is>
          <t>ع ل و</t>
        </is>
      </c>
      <c r="C11" s="6" t="inlineStr">
        <is>
          <t>ʿlw</t>
        </is>
      </c>
      <c r="D11" s="8" t="inlineStr">
        <is>
          <t>to be high / exalted</t>
        </is>
      </c>
      <c r="E11" s="24" t="n">
        <v>14</v>
      </c>
      <c r="F11" s="7" t="n">
        <v>70</v>
      </c>
      <c r="G11" s="8" t="inlineStr">
        <is>
          <t>ʿaliyy (Most High), mutaʿāl (Exalted), ʿulūww</t>
        </is>
      </c>
      <c r="H11" s="8" t="inlineStr">
        <is>
          <t>Divine Power &amp; Cosmology</t>
        </is>
      </c>
    </row>
    <row r="12">
      <c r="A12" s="16" t="n">
        <v>8</v>
      </c>
      <c r="B12" s="17" t="inlineStr">
        <is>
          <t>ف ر ق</t>
        </is>
      </c>
      <c r="C12" s="6" t="inlineStr">
        <is>
          <t>frq</t>
        </is>
      </c>
      <c r="D12" s="8" t="inlineStr">
        <is>
          <t>to separate / divide</t>
        </is>
      </c>
      <c r="E12" s="24" t="n">
        <v>14</v>
      </c>
      <c r="F12" s="7" t="n">
        <v>72</v>
      </c>
      <c r="G12" s="8" t="inlineStr">
        <is>
          <t>furqān (criterion), farīq (party/group), tafarraqa</t>
        </is>
      </c>
      <c r="H12" s="8" t="inlineStr">
        <is>
          <t>Social &amp; Temporal Order</t>
        </is>
      </c>
    </row>
    <row r="13">
      <c r="A13" s="16" t="n">
        <v>9</v>
      </c>
      <c r="B13" s="17" t="inlineStr">
        <is>
          <t>ك ف ر</t>
        </is>
      </c>
      <c r="C13" s="6" t="inlineStr">
        <is>
          <t>kfr</t>
        </is>
      </c>
      <c r="D13" s="8" t="inlineStr">
        <is>
          <t>to disbelieve / cover</t>
        </is>
      </c>
      <c r="E13" s="24" t="n">
        <v>14</v>
      </c>
      <c r="F13" s="7" t="n">
        <v>525</v>
      </c>
      <c r="G13" s="8" t="inlineStr">
        <is>
          <t>kafara (disbelieved), kāfir (disbeliever), kufr, kaffārah</t>
        </is>
      </c>
      <c r="H13" s="8" t="inlineStr">
        <is>
          <t>Faith &amp; Submission</t>
        </is>
      </c>
    </row>
    <row r="14">
      <c r="A14" s="16" t="n">
        <v>10</v>
      </c>
      <c r="B14" s="17" t="inlineStr">
        <is>
          <t>ذ ك ر</t>
        </is>
      </c>
      <c r="C14" s="6" t="inlineStr">
        <is>
          <t>dhkr</t>
        </is>
      </c>
      <c r="D14" s="8" t="inlineStr">
        <is>
          <t>to remember / mention</t>
        </is>
      </c>
      <c r="E14" s="24" t="n">
        <v>14</v>
      </c>
      <c r="F14" s="7" t="n">
        <v>292</v>
      </c>
      <c r="G14" s="8" t="inlineStr">
        <is>
          <t>dhikr (remembrance), dhakir, tadhakkara, dhikrā</t>
        </is>
      </c>
      <c r="H14" s="8" t="inlineStr">
        <is>
          <t>Knowledge &amp; Clarity</t>
        </is>
      </c>
    </row>
    <row r="15">
      <c r="A15" s="16" t="n">
        <v>11</v>
      </c>
      <c r="B15" s="17" t="inlineStr">
        <is>
          <t>ح ك م</t>
        </is>
      </c>
      <c r="C15" s="6" t="inlineStr">
        <is>
          <t>ḥkm</t>
        </is>
      </c>
      <c r="D15" s="8" t="inlineStr">
        <is>
          <t>to judge / wisdom</t>
        </is>
      </c>
      <c r="E15" s="24" t="n">
        <v>13</v>
      </c>
      <c r="F15" s="7" t="n">
        <v>210</v>
      </c>
      <c r="G15" s="8" t="inlineStr">
        <is>
          <t>ḥukm (judgment), ḥakīm (wise), ḥikmah (wisdom)</t>
        </is>
      </c>
      <c r="H15" s="8" t="inlineStr">
        <is>
          <t>Justice &amp; Moral Order</t>
        </is>
      </c>
    </row>
    <row r="16">
      <c r="A16" s="16" t="n">
        <v>12</v>
      </c>
      <c r="B16" s="17" t="inlineStr">
        <is>
          <t>ب ي ن</t>
        </is>
      </c>
      <c r="C16" s="6" t="inlineStr">
        <is>
          <t>byn</t>
        </is>
      </c>
      <c r="D16" s="8" t="inlineStr">
        <is>
          <t>to clarify / between</t>
        </is>
      </c>
      <c r="E16" s="24" t="n">
        <v>13</v>
      </c>
      <c r="F16" s="7" t="n">
        <v>523</v>
      </c>
      <c r="G16" s="8" t="inlineStr">
        <is>
          <t>mubīn (clear), bayyinah (proof), bayn (between)</t>
        </is>
      </c>
      <c r="H16" s="8" t="inlineStr">
        <is>
          <t>Knowledge &amp; Clarity</t>
        </is>
      </c>
    </row>
    <row r="17">
      <c r="A17" s="16" t="n">
        <v>13</v>
      </c>
      <c r="B17" s="17" t="inlineStr">
        <is>
          <t>ع د و</t>
        </is>
      </c>
      <c r="C17" s="6" t="inlineStr">
        <is>
          <t>ʿdw</t>
        </is>
      </c>
      <c r="D17" s="8" t="inlineStr">
        <is>
          <t>to be hostile / transgress</t>
        </is>
      </c>
      <c r="E17" s="24" t="n">
        <v>13</v>
      </c>
      <c r="F17" s="7" t="n">
        <v>106</v>
      </c>
      <c r="G17" s="8" t="inlineStr">
        <is>
          <t>ʿaduww (enemy), iʿtadā (transgressed), ʿudwān</t>
        </is>
      </c>
      <c r="H17" s="8" t="inlineStr">
        <is>
          <t>Justice &amp; Moral Order</t>
        </is>
      </c>
    </row>
    <row r="18">
      <c r="A18" s="16" t="n">
        <v>14</v>
      </c>
      <c r="B18" s="17" t="inlineStr">
        <is>
          <t>ظ ل م</t>
        </is>
      </c>
      <c r="C18" s="6" t="inlineStr">
        <is>
          <t>ẓlm</t>
        </is>
      </c>
      <c r="D18" s="8" t="inlineStr">
        <is>
          <t>to wrong / oppress / darkness</t>
        </is>
      </c>
      <c r="E18" s="24" t="n">
        <v>12</v>
      </c>
      <c r="F18" s="7" t="n">
        <v>315</v>
      </c>
      <c r="G18" s="8" t="inlineStr">
        <is>
          <t>ẓālim (oppressor), ẓulm (injustice), ẓulumāt (darkness)</t>
        </is>
      </c>
      <c r="H18" s="8" t="inlineStr">
        <is>
          <t>Justice &amp; Moral Order</t>
        </is>
      </c>
    </row>
    <row r="19">
      <c r="A19" s="16" t="n">
        <v>15</v>
      </c>
      <c r="B19" s="17" t="inlineStr">
        <is>
          <t>ح ي ي</t>
        </is>
      </c>
      <c r="C19" s="6" t="inlineStr">
        <is>
          <t>ḥyy</t>
        </is>
      </c>
      <c r="D19" s="8" t="inlineStr">
        <is>
          <t>to live / life</t>
        </is>
      </c>
      <c r="E19" s="24" t="n">
        <v>12</v>
      </c>
      <c r="F19" s="7" t="n">
        <v>184</v>
      </c>
      <c r="G19" s="8" t="inlineStr">
        <is>
          <t>ḥayāt (life), aḥyā (gave life), ḥayy (living)</t>
        </is>
      </c>
      <c r="H19" s="8" t="inlineStr">
        <is>
          <t>Divine Power &amp; Cosmology</t>
        </is>
      </c>
    </row>
    <row r="20">
      <c r="A20" s="16" t="n">
        <v>16</v>
      </c>
      <c r="B20" s="17" t="inlineStr">
        <is>
          <t>ح س ن</t>
        </is>
      </c>
      <c r="C20" s="6" t="inlineStr">
        <is>
          <t>ḥsn</t>
        </is>
      </c>
      <c r="D20" s="8" t="inlineStr">
        <is>
          <t>good / beautiful / excel</t>
        </is>
      </c>
      <c r="E20" s="24" t="n">
        <v>12</v>
      </c>
      <c r="F20" s="7" t="n">
        <v>194</v>
      </c>
      <c r="G20" s="8" t="inlineStr">
        <is>
          <t>ḥasan (good), iḥsān (excellence), muḥsin</t>
        </is>
      </c>
      <c r="H20" s="8" t="inlineStr">
        <is>
          <t>Justice &amp; Moral Order</t>
        </is>
      </c>
    </row>
    <row r="21">
      <c r="A21" s="16" t="n">
        <v>17</v>
      </c>
      <c r="B21" s="17" t="inlineStr">
        <is>
          <t>ن ز ل</t>
        </is>
      </c>
      <c r="C21" s="6" t="inlineStr">
        <is>
          <t>nzl</t>
        </is>
      </c>
      <c r="D21" s="8" t="inlineStr">
        <is>
          <t>to send down / reveal</t>
        </is>
      </c>
      <c r="E21" s="24" t="n">
        <v>12</v>
      </c>
      <c r="F21" s="7" t="n">
        <v>293</v>
      </c>
      <c r="G21" s="8" t="inlineStr">
        <is>
          <t>anzala (revealed), nazzala, manzil</t>
        </is>
      </c>
      <c r="H21" s="8" t="inlineStr">
        <is>
          <t>Divine Power &amp; Cosmology</t>
        </is>
      </c>
    </row>
    <row r="22">
      <c r="A22" s="16" t="n">
        <v>18</v>
      </c>
      <c r="B22" s="17" t="inlineStr">
        <is>
          <t>ه د ي</t>
        </is>
      </c>
      <c r="C22" s="6" t="inlineStr">
        <is>
          <t>hdy</t>
        </is>
      </c>
      <c r="D22" s="8" t="inlineStr">
        <is>
          <t>to guide / guidance</t>
        </is>
      </c>
      <c r="E22" s="24" t="n">
        <v>12</v>
      </c>
      <c r="F22" s="7" t="n">
        <v>316</v>
      </c>
      <c r="G22" s="8" t="inlineStr">
        <is>
          <t>hadā (guided), hudā (guidance), muhtadī</t>
        </is>
      </c>
      <c r="H22" s="8" t="inlineStr">
        <is>
          <t>Knowledge &amp; Clarity</t>
        </is>
      </c>
    </row>
    <row r="23">
      <c r="A23" s="16" t="n">
        <v>19</v>
      </c>
      <c r="B23" s="17" t="inlineStr">
        <is>
          <t>و ل ي</t>
        </is>
      </c>
      <c r="C23" s="6" t="inlineStr">
        <is>
          <t>wly</t>
        </is>
      </c>
      <c r="D23" s="8" t="inlineStr">
        <is>
          <t>protector / ally / turn</t>
        </is>
      </c>
      <c r="E23" s="24" t="n">
        <v>12</v>
      </c>
      <c r="F23" s="7" t="n">
        <v>232</v>
      </c>
      <c r="G23" s="8" t="inlineStr">
        <is>
          <t>walī (protector), mawlā, tawallā</t>
        </is>
      </c>
      <c r="H23" s="8" t="inlineStr">
        <is>
          <t>Social &amp; Temporal Order</t>
        </is>
      </c>
    </row>
    <row r="24">
      <c r="A24" s="16" t="n">
        <v>20</v>
      </c>
      <c r="B24" s="17" t="inlineStr">
        <is>
          <t>ق د ر</t>
        </is>
      </c>
      <c r="C24" s="6" t="inlineStr">
        <is>
          <t>qdr</t>
        </is>
      </c>
      <c r="D24" s="8" t="inlineStr">
        <is>
          <t>to decree / power / measure</t>
        </is>
      </c>
      <c r="E24" s="24" t="n">
        <v>11</v>
      </c>
      <c r="F24" s="7" t="n">
        <v>132</v>
      </c>
      <c r="G24" s="8" t="inlineStr">
        <is>
          <t>qadīr (All-Powerful), qadar (decree), muqtadir</t>
        </is>
      </c>
      <c r="H24" s="8" t="inlineStr">
        <is>
          <t>Divine Power &amp; Cosmology</t>
        </is>
      </c>
    </row>
    <row r="25">
      <c r="A25" s="16" t="n">
        <v>21</v>
      </c>
      <c r="B25" s="17" t="inlineStr">
        <is>
          <t>خ ر ج</t>
        </is>
      </c>
      <c r="C25" s="6" t="inlineStr">
        <is>
          <t>khrj</t>
        </is>
      </c>
      <c r="D25" s="8" t="inlineStr">
        <is>
          <t>to go out / exit</t>
        </is>
      </c>
      <c r="E25" s="24" t="n">
        <v>11</v>
      </c>
      <c r="F25" s="7" t="n">
        <v>182</v>
      </c>
      <c r="G25" s="8" t="inlineStr">
        <is>
          <t>akhraja (brought out), khurūj, makhraj</t>
        </is>
      </c>
      <c r="H25" s="8" t="inlineStr">
        <is>
          <t>Social &amp; Temporal Order</t>
        </is>
      </c>
    </row>
    <row r="26">
      <c r="A26" s="16" t="n">
        <v>22</v>
      </c>
      <c r="B26" s="17" t="inlineStr">
        <is>
          <t>ج م ع</t>
        </is>
      </c>
      <c r="C26" s="6" t="inlineStr">
        <is>
          <t>jmʿ</t>
        </is>
      </c>
      <c r="D26" s="8" t="inlineStr">
        <is>
          <t>to gather / collect</t>
        </is>
      </c>
      <c r="E26" s="24" t="n">
        <v>11</v>
      </c>
      <c r="F26" s="7" t="n">
        <v>129</v>
      </c>
      <c r="G26" s="8" t="inlineStr">
        <is>
          <t>jamīʿ (all), jamʿ, majmūʿ</t>
        </is>
      </c>
      <c r="H26" s="8" t="inlineStr">
        <is>
          <t>Social &amp; Temporal Order</t>
        </is>
      </c>
    </row>
    <row r="27">
      <c r="A27" s="16" t="n">
        <v>23</v>
      </c>
      <c r="B27" s="17" t="inlineStr">
        <is>
          <t>ع ق ب</t>
        </is>
      </c>
      <c r="C27" s="6" t="inlineStr">
        <is>
          <t>ʿqb</t>
        </is>
      </c>
      <c r="D27" s="8" t="inlineStr">
        <is>
          <t>to follow / consequence</t>
        </is>
      </c>
      <c r="E27" s="24" t="n">
        <v>11</v>
      </c>
      <c r="F27" s="7" t="n">
        <v>80</v>
      </c>
      <c r="G27" s="8" t="inlineStr">
        <is>
          <t>ʿāqibah (consequence), ʿiqāb (punishment)</t>
        </is>
      </c>
      <c r="H27" s="8" t="inlineStr">
        <is>
          <t>Social &amp; Temporal Order</t>
        </is>
      </c>
    </row>
    <row r="28">
      <c r="A28" s="16" t="n">
        <v>24</v>
      </c>
      <c r="B28" s="17" t="inlineStr">
        <is>
          <t>ع ش ر</t>
        </is>
      </c>
      <c r="C28" s="6" t="inlineStr">
        <is>
          <t>ʿshr</t>
        </is>
      </c>
      <c r="D28" s="8" t="inlineStr">
        <is>
          <t>ten / associate</t>
        </is>
      </c>
      <c r="E28" s="24" t="n">
        <v>11</v>
      </c>
      <c r="F28" s="7" t="n">
        <v>27</v>
      </c>
      <c r="G28" s="8" t="inlineStr">
        <is>
          <t>ʿasharah (ten), maʿshar (assembly)</t>
        </is>
      </c>
      <c r="H28" s="8" t="inlineStr">
        <is>
          <t>Social &amp; Temporal Order</t>
        </is>
      </c>
    </row>
    <row r="29">
      <c r="A29" s="16" t="n">
        <v>25</v>
      </c>
      <c r="B29" s="17" t="inlineStr">
        <is>
          <t>ض ر ر</t>
        </is>
      </c>
      <c r="C29" s="6" t="inlineStr">
        <is>
          <t>ḍrr</t>
        </is>
      </c>
      <c r="D29" s="8" t="inlineStr">
        <is>
          <t>to harm / adversity</t>
        </is>
      </c>
      <c r="E29" s="24" t="n">
        <v>11</v>
      </c>
      <c r="F29" s="7" t="n">
        <v>74</v>
      </c>
      <c r="G29" s="8" t="inlineStr">
        <is>
          <t>ḍarrāʾ (adversity), ḍurar, muḍṭarr</t>
        </is>
      </c>
      <c r="H29" s="8" t="inlineStr">
        <is>
          <t>Justice &amp; Moral Order</t>
        </is>
      </c>
    </row>
    <row r="30">
      <c r="A30" s="16" t="n">
        <v>26</v>
      </c>
      <c r="B30" s="17" t="inlineStr">
        <is>
          <t>ض ع ف</t>
        </is>
      </c>
      <c r="C30" s="6" t="inlineStr">
        <is>
          <t>ḍʿf</t>
        </is>
      </c>
      <c r="D30" s="8" t="inlineStr">
        <is>
          <t>weakness / double</t>
        </is>
      </c>
      <c r="E30" s="24" t="n">
        <v>11</v>
      </c>
      <c r="F30" s="7" t="n">
        <v>52</v>
      </c>
      <c r="G30" s="8" t="inlineStr">
        <is>
          <t>ḍaʿīf (weak), muḍāʿaf (doubled)</t>
        </is>
      </c>
      <c r="H30" s="8" t="inlineStr">
        <is>
          <t>Social &amp; Temporal Order</t>
        </is>
      </c>
    </row>
    <row r="31">
      <c r="A31" s="20" t="inlineStr">
        <is>
          <t>TOTAL 26 FERTILE ROOTS</t>
        </is>
      </c>
      <c r="B31" s="21" t="n"/>
      <c r="C31" s="21" t="n"/>
      <c r="D31" s="21" t="n"/>
      <c r="E31" s="25">
        <f>AVERAGE(E5:E30)</f>
        <v/>
      </c>
      <c r="F31" s="22">
        <f>SUM(F5:F30)</f>
        <v/>
      </c>
      <c r="G31" s="21" t="n"/>
      <c r="H31" s="2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1" workbookViewId="0">
      <selection activeCell="A1" sqref="A1"/>
    </sheetView>
  </sheetViews>
  <sheetFormatPr baseColWidth="8" defaultRowHeight="15"/>
  <cols>
    <col width="83" customWidth="1" min="1" max="1"/>
    <col width="18" customWidth="1" min="2" max="2"/>
    <col width="18" customWidth="1" min="3" max="3"/>
    <col width="32" customWidth="1" min="4" max="4"/>
    <col width="20" customWidth="1" min="5" max="5"/>
    <col width="21" customWidth="1" min="6" max="6"/>
    <col width="38" customWidth="1" min="7" max="7"/>
  </cols>
  <sheetData>
    <row r="1">
      <c r="A1" s="1" t="inlineStr">
        <is>
          <t>CLOSED-CLASS FUNCTIONAL WORDS &amp; PARTICLES</t>
        </is>
      </c>
    </row>
    <row r="2">
      <c r="A2" s="2" t="inlineStr">
        <is>
          <t>173 Functional Lemmas (1,036 Unique Surface Forms, ~27,462 Total Running Tokens)</t>
        </is>
      </c>
    </row>
    <row r="3"/>
    <row r="4">
      <c r="A4" s="5" t="inlineStr">
        <is>
          <t>Rank</t>
        </is>
      </c>
      <c r="B4" s="5" t="inlineStr">
        <is>
          <t>Lemma (Arabic)</t>
        </is>
      </c>
      <c r="C4" s="5" t="inlineStr">
        <is>
          <t>Transliteration</t>
        </is>
      </c>
      <c r="D4" s="5" t="inlineStr">
        <is>
          <t>Grammatical Category</t>
        </is>
      </c>
      <c r="E4" s="5" t="inlineStr">
        <is>
          <t>Exact Occurrences</t>
        </is>
      </c>
      <c r="F4" s="5" t="inlineStr">
        <is>
          <t>% of Corpus Tokens</t>
        </is>
      </c>
      <c r="G4" s="5" t="inlineStr">
        <is>
          <t>English Meaning &amp; Function</t>
        </is>
      </c>
    </row>
    <row r="5">
      <c r="A5" s="16" t="n">
        <v>1</v>
      </c>
      <c r="B5" s="17" t="inlineStr">
        <is>
          <t>مِن</t>
        </is>
      </c>
      <c r="C5" s="8" t="inlineStr">
        <is>
          <t>min</t>
        </is>
      </c>
      <c r="D5" s="8" t="inlineStr">
        <is>
          <t>Preposition (Ḥarf Jar)</t>
        </is>
      </c>
      <c r="E5" s="7" t="n">
        <v>3226</v>
      </c>
      <c r="F5" s="19">
        <f>E5/77429</f>
        <v/>
      </c>
      <c r="G5" s="8" t="inlineStr">
        <is>
          <t>from / out of</t>
        </is>
      </c>
    </row>
    <row r="6">
      <c r="A6" s="16" t="n">
        <v>2</v>
      </c>
      <c r="B6" s="17" t="inlineStr">
        <is>
          <t>فِي</t>
        </is>
      </c>
      <c r="C6" s="8" t="inlineStr">
        <is>
          <t>fī</t>
        </is>
      </c>
      <c r="D6" s="8" t="inlineStr">
        <is>
          <t>Preposition (Ḥarf Jar)</t>
        </is>
      </c>
      <c r="E6" s="7" t="n">
        <v>1701</v>
      </c>
      <c r="F6" s="19">
        <f>E6/77429</f>
        <v/>
      </c>
      <c r="G6" s="8" t="inlineStr">
        <is>
          <t>in / within / inside</t>
        </is>
      </c>
    </row>
    <row r="7">
      <c r="A7" s="16" t="n">
        <v>3</v>
      </c>
      <c r="B7" s="17" t="inlineStr">
        <is>
          <t>إِنَّ</t>
        </is>
      </c>
      <c r="C7" s="8" t="inlineStr">
        <is>
          <t>inna</t>
        </is>
      </c>
      <c r="D7" s="8" t="inlineStr">
        <is>
          <t>Accusative Particle (Ḥarf Naṣb)</t>
        </is>
      </c>
      <c r="E7" s="7" t="n">
        <v>1682</v>
      </c>
      <c r="F7" s="19">
        <f>E7/77429</f>
        <v/>
      </c>
      <c r="G7" s="8" t="inlineStr">
        <is>
          <t>indeed / verily / truly</t>
        </is>
      </c>
    </row>
    <row r="8">
      <c r="A8" s="16" t="n">
        <v>4</v>
      </c>
      <c r="B8" s="17" t="inlineStr">
        <is>
          <t>عَلَى</t>
        </is>
      </c>
      <c r="C8" s="8" t="inlineStr">
        <is>
          <t>ʿalā</t>
        </is>
      </c>
      <c r="D8" s="8" t="inlineStr">
        <is>
          <t>Preposition (Ḥarf Jar)</t>
        </is>
      </c>
      <c r="E8" s="7" t="n">
        <v>1445</v>
      </c>
      <c r="F8" s="19">
        <f>E8/77429</f>
        <v/>
      </c>
      <c r="G8" s="8" t="inlineStr">
        <is>
          <t>upon / on / against</t>
        </is>
      </c>
    </row>
    <row r="9">
      <c r="A9" s="16" t="n">
        <v>5</v>
      </c>
      <c r="B9" s="17" t="inlineStr">
        <is>
          <t>الَّذِي</t>
        </is>
      </c>
      <c r="C9" s="8" t="inlineStr">
        <is>
          <t>alladhī</t>
        </is>
      </c>
      <c r="D9" s="8" t="inlineStr">
        <is>
          <t>Relative Pronoun (Masc. Sg.)</t>
        </is>
      </c>
      <c r="E9" s="7" t="n">
        <v>1442</v>
      </c>
      <c r="F9" s="19">
        <f>E9/77429</f>
        <v/>
      </c>
      <c r="G9" s="8" t="inlineStr">
        <is>
          <t>who / which / that</t>
        </is>
      </c>
    </row>
    <row r="10">
      <c r="A10" s="16" t="n">
        <v>6</v>
      </c>
      <c r="B10" s="17" t="inlineStr">
        <is>
          <t>لَا</t>
        </is>
      </c>
      <c r="C10" s="8" t="inlineStr">
        <is>
          <t>lā</t>
        </is>
      </c>
      <c r="D10" s="8" t="inlineStr">
        <is>
          <t>Negative Particle (Ḥarf Nafy)</t>
        </is>
      </c>
      <c r="E10" s="7" t="n">
        <v>1364</v>
      </c>
      <c r="F10" s="19">
        <f>E10/77429</f>
        <v/>
      </c>
      <c r="G10" s="8" t="inlineStr">
        <is>
          <t>no / not / do not</t>
        </is>
      </c>
    </row>
    <row r="11">
      <c r="A11" s="16" t="n">
        <v>7</v>
      </c>
      <c r="B11" s="17" t="inlineStr">
        <is>
          <t>مَا</t>
        </is>
      </c>
      <c r="C11" s="8" t="inlineStr">
        <is>
          <t>mā</t>
        </is>
      </c>
      <c r="D11" s="8" t="inlineStr">
        <is>
          <t>Relative Pronoun / Negative</t>
        </is>
      </c>
      <c r="E11" s="7" t="n">
        <v>1266</v>
      </c>
      <c r="F11" s="19">
        <f>E11/77429</f>
        <v/>
      </c>
      <c r="G11" s="8" t="inlineStr">
        <is>
          <t>what / that which / not</t>
        </is>
      </c>
    </row>
    <row r="12">
      <c r="A12" s="16" t="n">
        <v>8</v>
      </c>
      <c r="B12" s="17" t="inlineStr">
        <is>
          <t>إِلَى</t>
        </is>
      </c>
      <c r="C12" s="8" t="inlineStr">
        <is>
          <t>ilā</t>
        </is>
      </c>
      <c r="D12" s="8" t="inlineStr">
        <is>
          <t>Preposition (Ḥarf Jar)</t>
        </is>
      </c>
      <c r="E12" s="7" t="n">
        <v>742</v>
      </c>
      <c r="F12" s="19">
        <f>E12/77429</f>
        <v/>
      </c>
      <c r="G12" s="8" t="inlineStr">
        <is>
          <t>to / toward / until</t>
        </is>
      </c>
    </row>
    <row r="13">
      <c r="A13" s="16" t="n">
        <v>9</v>
      </c>
      <c r="B13" s="17" t="inlineStr">
        <is>
          <t>مَن</t>
        </is>
      </c>
      <c r="C13" s="8" t="inlineStr">
        <is>
          <t>man</t>
        </is>
      </c>
      <c r="D13" s="8" t="inlineStr">
        <is>
          <t>Relative Pronoun / Interrogative</t>
        </is>
      </c>
      <c r="E13" s="7" t="n">
        <v>606</v>
      </c>
      <c r="F13" s="19">
        <f>E13/77429</f>
        <v/>
      </c>
      <c r="G13" s="8" t="inlineStr">
        <is>
          <t>who / whoever / he who</t>
        </is>
      </c>
    </row>
    <row r="14">
      <c r="A14" s="16" t="n">
        <v>10</v>
      </c>
      <c r="B14" s="17" t="inlineStr">
        <is>
          <t>إِن</t>
        </is>
      </c>
      <c r="C14" s="8" t="inlineStr">
        <is>
          <t>in</t>
        </is>
      </c>
      <c r="D14" s="8" t="inlineStr">
        <is>
          <t>Conditional Particle (Ḥarf Sharṭ)</t>
        </is>
      </c>
      <c r="E14" s="7" t="n">
        <v>578</v>
      </c>
      <c r="F14" s="19">
        <f>E14/77429</f>
        <v/>
      </c>
      <c r="G14" s="8" t="inlineStr">
        <is>
          <t>if / in case</t>
        </is>
      </c>
    </row>
    <row r="15">
      <c r="A15" s="16" t="n">
        <v>11</v>
      </c>
      <c r="B15" s="17" t="inlineStr">
        <is>
          <t>أَنْ</t>
        </is>
      </c>
      <c r="C15" s="8" t="inlineStr">
        <is>
          <t>an</t>
        </is>
      </c>
      <c r="D15" s="8" t="inlineStr">
        <is>
          <t>Subordinating Conjunction</t>
        </is>
      </c>
      <c r="E15" s="7" t="n">
        <v>578</v>
      </c>
      <c r="F15" s="19">
        <f>E15/77429</f>
        <v/>
      </c>
      <c r="G15" s="8" t="inlineStr">
        <is>
          <t>that / to</t>
        </is>
      </c>
    </row>
    <row r="16">
      <c r="A16" s="16" t="n">
        <v>12</v>
      </c>
      <c r="B16" s="17" t="inlineStr">
        <is>
          <t>إِلَّا</t>
        </is>
      </c>
      <c r="C16" s="8" t="inlineStr">
        <is>
          <t>illā</t>
        </is>
      </c>
      <c r="D16" s="8" t="inlineStr">
        <is>
          <t>Restriction Particle (Ḥarf Ḥaṣr)</t>
        </is>
      </c>
      <c r="E16" s="7" t="n">
        <v>558</v>
      </c>
      <c r="F16" s="19">
        <f>E16/77429</f>
        <v/>
      </c>
      <c r="G16" s="8" t="inlineStr">
        <is>
          <t>except / unless / save</t>
        </is>
      </c>
    </row>
    <row r="17">
      <c r="A17" s="16" t="n">
        <v>13</v>
      </c>
      <c r="B17" s="17" t="inlineStr">
        <is>
          <t>ذَٰلِك</t>
        </is>
      </c>
      <c r="C17" s="8" t="inlineStr">
        <is>
          <t>dhālik</t>
        </is>
      </c>
      <c r="D17" s="8" t="inlineStr">
        <is>
          <t>Demonstrative Pronoun (Masc. Sg.)</t>
        </is>
      </c>
      <c r="E17" s="7" t="n">
        <v>520</v>
      </c>
      <c r="F17" s="19">
        <f>E17/77429</f>
        <v/>
      </c>
      <c r="G17" s="8" t="inlineStr">
        <is>
          <t>that</t>
        </is>
      </c>
    </row>
    <row r="18">
      <c r="A18" s="16" t="n">
        <v>14</v>
      </c>
      <c r="B18" s="17" t="inlineStr">
        <is>
          <t>عَنْ</t>
        </is>
      </c>
      <c r="C18" s="8" t="inlineStr">
        <is>
          <t>ʿan</t>
        </is>
      </c>
      <c r="D18" s="8" t="inlineStr">
        <is>
          <t>Preposition (Ḥarf Jar)</t>
        </is>
      </c>
      <c r="E18" s="7" t="n">
        <v>465</v>
      </c>
      <c r="F18" s="19">
        <f>E18/77429</f>
        <v/>
      </c>
      <c r="G18" s="8" t="inlineStr">
        <is>
          <t>from / away from / about</t>
        </is>
      </c>
    </row>
    <row r="19">
      <c r="A19" s="16" t="n">
        <v>15</v>
      </c>
      <c r="B19" s="17" t="inlineStr">
        <is>
          <t>قَد</t>
        </is>
      </c>
      <c r="C19" s="8" t="inlineStr">
        <is>
          <t>qad</t>
        </is>
      </c>
      <c r="D19" s="8" t="inlineStr">
        <is>
          <t>Particle of Certainty (Ḥarf Taḥqīq)</t>
        </is>
      </c>
      <c r="E19" s="7" t="n">
        <v>406</v>
      </c>
      <c r="F19" s="19">
        <f>E19/77429</f>
        <v/>
      </c>
      <c r="G19" s="8" t="inlineStr">
        <is>
          <t>already / indeed / surely</t>
        </is>
      </c>
    </row>
    <row r="20">
      <c r="A20" s="16" t="n">
        <v>16</v>
      </c>
      <c r="B20" s="17" t="inlineStr">
        <is>
          <t>أَنَّ</t>
        </is>
      </c>
      <c r="C20" s="8" t="inlineStr">
        <is>
          <t>anna</t>
        </is>
      </c>
      <c r="D20" s="8" t="inlineStr">
        <is>
          <t>Accusative Particle (Ḥarf Naṣb)</t>
        </is>
      </c>
      <c r="E20" s="7" t="n">
        <v>362</v>
      </c>
      <c r="F20" s="19">
        <f>E20/77429</f>
        <v/>
      </c>
      <c r="G20" s="8" t="inlineStr">
        <is>
          <t>that / indeed that</t>
        </is>
      </c>
    </row>
    <row r="21">
      <c r="A21" s="16" t="n">
        <v>17</v>
      </c>
      <c r="B21" s="17" t="inlineStr">
        <is>
          <t>لَم</t>
        </is>
      </c>
      <c r="C21" s="8" t="inlineStr">
        <is>
          <t>lam</t>
        </is>
      </c>
      <c r="D21" s="8" t="inlineStr">
        <is>
          <t>Negative Particle (Jussive)</t>
        </is>
      </c>
      <c r="E21" s="7" t="n">
        <v>353</v>
      </c>
      <c r="F21" s="19">
        <f>E21/77429</f>
        <v/>
      </c>
      <c r="G21" s="8" t="inlineStr">
        <is>
          <t>did not / not</t>
        </is>
      </c>
    </row>
    <row r="22">
      <c r="A22" s="16" t="n">
        <v>18</v>
      </c>
      <c r="B22" s="17" t="inlineStr">
        <is>
          <t>ثُمَّ</t>
        </is>
      </c>
      <c r="C22" s="8" t="inlineStr">
        <is>
          <t>thumma</t>
        </is>
      </c>
      <c r="D22" s="8" t="inlineStr">
        <is>
          <t>Coordinating Conjunction</t>
        </is>
      </c>
      <c r="E22" s="7" t="n">
        <v>338</v>
      </c>
      <c r="F22" s="19">
        <f>E22/77429</f>
        <v/>
      </c>
      <c r="G22" s="8" t="inlineStr">
        <is>
          <t>then / thereafter</t>
        </is>
      </c>
    </row>
    <row r="23">
      <c r="A23" s="16" t="n">
        <v>19</v>
      </c>
      <c r="B23" s="17" t="inlineStr">
        <is>
          <t>هَٰذَا</t>
        </is>
      </c>
      <c r="C23" s="8" t="inlineStr">
        <is>
          <t>hādhā</t>
        </is>
      </c>
      <c r="D23" s="8" t="inlineStr">
        <is>
          <t>Demonstrative Pronoun (Masc. Sg.)</t>
        </is>
      </c>
      <c r="E23" s="7" t="n">
        <v>317</v>
      </c>
      <c r="F23" s="19">
        <f>E23/77429</f>
        <v/>
      </c>
      <c r="G23" s="8" t="inlineStr">
        <is>
          <t>this</t>
        </is>
      </c>
    </row>
    <row r="24">
      <c r="A24" s="16" t="n">
        <v>20</v>
      </c>
      <c r="B24" s="17" t="inlineStr">
        <is>
          <t>أَوْ</t>
        </is>
      </c>
      <c r="C24" s="8" t="inlineStr">
        <is>
          <t>aw</t>
        </is>
      </c>
      <c r="D24" s="8" t="inlineStr">
        <is>
          <t>Coordinating Conjunction</t>
        </is>
      </c>
      <c r="E24" s="7" t="n">
        <v>280</v>
      </c>
      <c r="F24" s="19">
        <f>E24/77429</f>
        <v/>
      </c>
      <c r="G24" s="8" t="inlineStr">
        <is>
          <t>or</t>
        </is>
      </c>
    </row>
    <row r="25">
      <c r="A25" s="16" t="n">
        <v>21</v>
      </c>
      <c r="B25" s="17" t="inlineStr">
        <is>
          <t>إِذ</t>
        </is>
      </c>
      <c r="C25" s="8" t="inlineStr">
        <is>
          <t>idh</t>
        </is>
      </c>
      <c r="D25" s="8" t="inlineStr">
        <is>
          <t>Time Adverb (Ẓarf Zamān)</t>
        </is>
      </c>
      <c r="E25" s="7" t="n">
        <v>239</v>
      </c>
      <c r="F25" s="19">
        <f>E25/77429</f>
        <v/>
      </c>
      <c r="G25" s="8" t="inlineStr">
        <is>
          <t>when / as / behold</t>
        </is>
      </c>
    </row>
    <row r="26">
      <c r="A26" s="16" t="n">
        <v>22</v>
      </c>
      <c r="B26" s="17" t="inlineStr">
        <is>
          <t>أُولَٰئِك</t>
        </is>
      </c>
      <c r="C26" s="8" t="inlineStr">
        <is>
          <t>ulāʾika</t>
        </is>
      </c>
      <c r="D26" s="8" t="inlineStr">
        <is>
          <t>Demonstrative Pronoun (Plural)</t>
        </is>
      </c>
      <c r="E26" s="7" t="n">
        <v>204</v>
      </c>
      <c r="F26" s="19">
        <f>E26/77429</f>
        <v/>
      </c>
      <c r="G26" s="8" t="inlineStr">
        <is>
          <t>those</t>
        </is>
      </c>
    </row>
    <row r="27">
      <c r="A27" s="16" t="n">
        <v>23</v>
      </c>
      <c r="B27" s="17" t="inlineStr">
        <is>
          <t>لَوْ</t>
        </is>
      </c>
      <c r="C27" s="8" t="inlineStr">
        <is>
          <t>law</t>
        </is>
      </c>
      <c r="D27" s="8" t="inlineStr">
        <is>
          <t>Conditional Particle</t>
        </is>
      </c>
      <c r="E27" s="7" t="n">
        <v>184</v>
      </c>
      <c r="F27" s="19">
        <f>E27/77429</f>
        <v/>
      </c>
      <c r="G27" s="8" t="inlineStr">
        <is>
          <t>if / had it been that</t>
        </is>
      </c>
    </row>
    <row r="28">
      <c r="A28" s="16" t="n">
        <v>24</v>
      </c>
      <c r="B28" s="17" t="inlineStr">
        <is>
          <t>عِنْد</t>
        </is>
      </c>
      <c r="C28" s="8" t="inlineStr">
        <is>
          <t>ʿind</t>
        </is>
      </c>
      <c r="D28" s="8" t="inlineStr">
        <is>
          <t>Location Adverb (Ẓarf Makān)</t>
        </is>
      </c>
      <c r="E28" s="7" t="n">
        <v>160</v>
      </c>
      <c r="F28" s="19">
        <f>E28/77429</f>
        <v/>
      </c>
      <c r="G28" s="8" t="inlineStr">
        <is>
          <t>at / with / near</t>
        </is>
      </c>
    </row>
    <row r="29">
      <c r="A29" s="16" t="n">
        <v>25</v>
      </c>
      <c r="B29" s="17" t="inlineStr">
        <is>
          <t>مَع</t>
        </is>
      </c>
      <c r="C29" s="8" t="inlineStr">
        <is>
          <t>maʿa</t>
        </is>
      </c>
      <c r="D29" s="8" t="inlineStr">
        <is>
          <t>Location Adverb (Ẓarf Makān)</t>
        </is>
      </c>
      <c r="E29" s="7" t="n">
        <v>159</v>
      </c>
      <c r="F29" s="19">
        <f>E29/77429</f>
        <v/>
      </c>
      <c r="G29" s="8" t="inlineStr">
        <is>
          <t>with / together with</t>
        </is>
      </c>
    </row>
    <row r="30">
      <c r="A30" s="16" t="n">
        <v>26</v>
      </c>
      <c r="B30" s="17" t="inlineStr">
        <is>
          <t>هُوَ</t>
        </is>
      </c>
      <c r="C30" s="8" t="inlineStr">
        <is>
          <t>huwa</t>
        </is>
      </c>
      <c r="D30" s="8" t="inlineStr">
        <is>
          <t>Personal Pronoun (3rd Masc. Sg.)</t>
        </is>
      </c>
      <c r="E30" s="7" t="n">
        <v>890</v>
      </c>
      <c r="F30" s="19">
        <f>E30/77429</f>
        <v/>
      </c>
      <c r="G30" s="8" t="inlineStr">
        <is>
          <t>he / it</t>
        </is>
      </c>
    </row>
    <row r="31">
      <c r="A31" s="16" t="n">
        <v>27</v>
      </c>
      <c r="B31" s="17" t="inlineStr">
        <is>
          <t>هُمْ</t>
        </is>
      </c>
      <c r="C31" s="8" t="inlineStr">
        <is>
          <t>hum</t>
        </is>
      </c>
      <c r="D31" s="8" t="inlineStr">
        <is>
          <t>Personal Pronoun (3rd Masc. Pl.)</t>
        </is>
      </c>
      <c r="E31" s="7" t="n">
        <v>450</v>
      </c>
      <c r="F31" s="19">
        <f>E31/77429</f>
        <v/>
      </c>
      <c r="G31" s="8" t="inlineStr">
        <is>
          <t>they / them</t>
        </is>
      </c>
    </row>
    <row r="32">
      <c r="A32" s="20" t="inlineStr">
        <is>
          <t>TOTAL TOP PARTICLES</t>
        </is>
      </c>
      <c r="B32" s="21" t="n"/>
      <c r="C32" s="21" t="n"/>
      <c r="D32" s="21" t="n"/>
      <c r="E32" s="22">
        <f>SUM(E5:E31)</f>
        <v/>
      </c>
      <c r="F32" s="23">
        <f>E32/77429</f>
        <v/>
      </c>
      <c r="G32" s="2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2026-08-31T04:16:36Z</dcterms:created>
  <dcterms:modified xmlns:dcterms="http://purl.org/dc/terms/" xmlns:xsi="http://www.w3.org/2001/XMLSchema-instance" xsi:type="dcterms:W3CDTF">2026-08-31T04:16:36Z</dcterms:modified>
</cp:coreProperties>
</file>