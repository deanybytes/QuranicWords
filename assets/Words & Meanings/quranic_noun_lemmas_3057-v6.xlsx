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Ism Master Catalog (3057)" sheetId="2" state="visible" r:id="rId2"/>
    <sheet xmlns:r="http://schemas.openxmlformats.org/officeDocument/2006/relationships" name="Checks &amp; Integr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2C3E50"/>
      <sz val="10"/>
    </font>
    <font>
      <name val="Calibri"/>
      <color rgb="002C3E50"/>
      <sz val="10"/>
    </font>
    <font>
      <name val="Traditional Arabic"/>
      <b val="1"/>
      <color rgb="001B365D"/>
      <sz val="12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D75"/>
        <bgColor rgb="002C4D75"/>
      </patternFill>
    </fill>
    <fill>
      <patternFill patternType="solid">
        <fgColor rgb="00F4F6F9"/>
        <bgColor rgb="00F4F6F9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B365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CCCCCC"/>
      </top>
      <bottom style="double">
        <color rgb="001B365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0" fontId="5" fillId="4" borderId="2" pivotButton="0" quotePrefix="0" xfId="0"/>
    <xf numFmtId="0" fontId="7" fillId="0" borderId="2" pivotButton="0" quotePrefix="0" xfId="0"/>
    <xf numFmtId="3" fontId="6" fillId="4" borderId="2" applyAlignment="1" pivotButton="0" quotePrefix="0" xfId="0">
      <alignment horizontal="right" vertical="center"/>
    </xf>
    <xf numFmtId="10" fontId="6" fillId="4" borderId="2" applyAlignment="1" pivotButton="0" quotePrefix="0" xfId="0">
      <alignment horizontal="right" vertical="center"/>
    </xf>
    <xf numFmtId="0" fontId="5" fillId="0" borderId="2" pivotButton="0" quotePrefix="0" xfId="0"/>
    <xf numFmtId="3" fontId="6" fillId="0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0" fontId="5" fillId="5" borderId="3" pivotButton="0" quotePrefix="0" xfId="0"/>
    <xf numFmtId="0" fontId="7" fillId="5" borderId="3" pivotButton="0" quotePrefix="0" xfId="0"/>
    <xf numFmtId="3" fontId="5" fillId="5" borderId="3" applyAlignment="1" pivotButton="0" quotePrefix="0" xfId="0">
      <alignment horizontal="right" vertical="center"/>
    </xf>
    <xf numFmtId="10" fontId="5" fillId="5" borderId="3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right" vertical="center"/>
    </xf>
    <xf numFmtId="0" fontId="6" fillId="0" borderId="2" pivotButton="0" quotePrefix="0" xfId="0"/>
    <xf numFmtId="0" fontId="5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16" customWidth="1" min="4" max="4"/>
    <col width="16" customWidth="1" min="5" max="5"/>
    <col width="20" customWidth="1" min="6" max="6"/>
    <col width="16" customWidth="1" min="7" max="7"/>
  </cols>
  <sheetData>
    <row r="1"/>
    <row r="2">
      <c r="B2" s="1" t="inlineStr">
        <is>
          <t>Multilingual Quranic Noun Lemma Architecture (v6.0)</t>
        </is>
      </c>
    </row>
    <row r="3">
      <c r="B3" s="2" t="inlineStr">
        <is>
          <t>100% Ism Tier Comprehensive Corpus Breakdown &amp; POS Architecture</t>
        </is>
      </c>
    </row>
    <row r="4"/>
    <row r="5">
      <c r="B5" s="3" t="inlineStr">
        <is>
          <t>1. CORPUS BASELINE METRICS (100% COVERAGE)</t>
        </is>
      </c>
    </row>
    <row r="6">
      <c r="B6" s="4" t="inlineStr">
        <is>
          <t>Metric Category</t>
        </is>
      </c>
      <c r="C6" s="5" t="inlineStr">
        <is>
          <t>Value / Count</t>
        </is>
      </c>
      <c r="D6" s="4" t="inlineStr">
        <is>
          <t>Format</t>
        </is>
      </c>
      <c r="E6" s="4" t="inlineStr">
        <is>
          <t>Corpus Description &amp; Linguistic Scope</t>
        </is>
      </c>
    </row>
    <row r="7">
      <c r="B7" s="6" t="inlineStr">
        <is>
          <t>Total Quranic Running Word Tokens</t>
        </is>
      </c>
      <c r="C7" s="7" t="n">
        <v>77429</v>
      </c>
      <c r="D7" s="8" t="inlineStr">
        <is>
          <t>#,##0</t>
        </is>
      </c>
      <c r="E7" s="9" t="inlineStr">
        <is>
          <t>Total word occurrences across 114 Surahs and 6,236 verses</t>
        </is>
      </c>
    </row>
    <row r="8">
      <c r="B8" s="10" t="inlineStr">
        <is>
          <t>Total Unique Surface Word Forms</t>
        </is>
      </c>
      <c r="C8" s="7" t="n">
        <v>19009</v>
      </c>
      <c r="D8" s="11" t="inlineStr">
        <is>
          <t>#,##0</t>
        </is>
      </c>
      <c r="E8" s="12" t="inlineStr">
        <is>
          <t>Exact orthographic word forms (including clitics and suffixes)</t>
        </is>
      </c>
    </row>
    <row r="9">
      <c r="B9" s="6" t="inlineStr">
        <is>
          <t>Total Unique Base Headword Lemmas</t>
        </is>
      </c>
      <c r="C9" s="7" t="n">
        <v>4616</v>
      </c>
      <c r="D9" s="8" t="inlineStr">
        <is>
          <t>#,##0</t>
        </is>
      </c>
      <c r="E9" s="9" t="inlineStr">
        <is>
          <t>Uninflected dictionary headwords covering 100% of Quranic text</t>
        </is>
      </c>
    </row>
    <row r="10">
      <c r="B10" s="10" t="inlineStr">
        <is>
          <t>Total Ism (Noun Tier) Base Lemmas</t>
        </is>
      </c>
      <c r="C10" s="7" t="n">
        <v>3057</v>
      </c>
      <c r="D10" s="11" t="inlineStr">
        <is>
          <t>#,##0</t>
        </is>
      </c>
      <c r="E10" s="12" t="inlineStr">
        <is>
          <t>100% Catalog of Noun, Attribute, Proper Noun, and Adverb headwords</t>
        </is>
      </c>
    </row>
    <row r="11">
      <c r="B11" s="6" t="inlineStr">
        <is>
          <t>Ism Share of Total Base Lemmas</t>
        </is>
      </c>
      <c r="C11" s="13" t="n">
        <v>0.66226</v>
      </c>
      <c r="D11" s="8" t="inlineStr">
        <is>
          <t>0.0%</t>
        </is>
      </c>
      <c r="E11" s="9" t="inlineStr">
        <is>
          <t>Noun lemmas account for 66.23% of all 4,616 unique base headwords</t>
        </is>
      </c>
    </row>
    <row r="12">
      <c r="B12" s="10" t="inlineStr">
        <is>
          <t>Ism Share of Running Word Tokens</t>
        </is>
      </c>
      <c r="C12" s="13" t="n">
        <v>0.3697</v>
      </c>
      <c r="D12" s="11" t="inlineStr">
        <is>
          <t>0.0%</t>
        </is>
      </c>
      <c r="E12" s="12" t="inlineStr">
        <is>
          <t>28,626 running word tokens out of 77,429 total corpus occurrences</t>
        </is>
      </c>
    </row>
    <row r="13"/>
    <row r="14"/>
    <row r="15">
      <c r="B15" s="3" t="inlineStr">
        <is>
          <t>2. ISM (NOUN TIER) SUBCATEGORY ARCHITECTURE (3,057 LEMMAS)</t>
        </is>
      </c>
    </row>
    <row r="16">
      <c r="B16" s="4" t="inlineStr">
        <is>
          <t>Classical POS Subcategory</t>
        </is>
      </c>
      <c r="C16" s="4" t="inlineStr">
        <is>
          <t>Arabic Terminology</t>
        </is>
      </c>
      <c r="D16" s="5" t="inlineStr">
        <is>
          <t>Lemmas</t>
        </is>
      </c>
      <c r="E16" s="5" t="inlineStr">
        <is>
          <t>% of Ism Tier</t>
        </is>
      </c>
      <c r="F16" s="5" t="inlineStr">
        <is>
          <t>Token Occurrences</t>
        </is>
      </c>
      <c r="G16" s="5" t="inlineStr">
        <is>
          <t>% of Total Corpus</t>
        </is>
      </c>
    </row>
    <row r="17">
      <c r="B17" s="14" t="inlineStr">
        <is>
          <t>General Common Nouns</t>
        </is>
      </c>
      <c r="C17" s="15" t="inlineStr">
        <is>
          <t>المسميات والأسماء العامة</t>
        </is>
      </c>
      <c r="D17" s="16" t="n">
        <v>2185</v>
      </c>
      <c r="E17" s="17" t="n">
        <v>0.71475</v>
      </c>
      <c r="F17" s="16" t="n">
        <v>20460</v>
      </c>
      <c r="G17" s="17" t="n">
        <v>0.26424</v>
      </c>
    </row>
    <row r="18">
      <c r="B18" s="18" t="inlineStr">
        <is>
          <t>Adjectives &amp; Attributes</t>
        </is>
      </c>
      <c r="C18" s="15" t="inlineStr">
        <is>
          <t>الصفات والنعوت والأسماء الحسنى</t>
        </is>
      </c>
      <c r="D18" s="19" t="n">
        <v>642</v>
      </c>
      <c r="E18" s="20" t="n">
        <v>0.21001</v>
      </c>
      <c r="F18" s="19" t="n">
        <v>6011</v>
      </c>
      <c r="G18" s="20" t="n">
        <v>0.07763</v>
      </c>
    </row>
    <row r="19">
      <c r="B19" s="14" t="inlineStr">
        <is>
          <t>Proper Nouns (Names &amp; Places)</t>
        </is>
      </c>
      <c r="C19" s="15" t="inlineStr">
        <is>
          <t>أعلام الأشخاص والأماكن والكتب</t>
        </is>
      </c>
      <c r="D19" s="16" t="n">
        <v>145</v>
      </c>
      <c r="E19" s="17" t="n">
        <v>0.04743</v>
      </c>
      <c r="F19" s="16" t="n">
        <v>1357</v>
      </c>
      <c r="G19" s="17" t="n">
        <v>0.01753</v>
      </c>
    </row>
    <row r="20">
      <c r="B20" s="18" t="inlineStr">
        <is>
          <t>Time &amp; Location Adverbs (Ẓurūf)</t>
        </is>
      </c>
      <c r="C20" s="15" t="inlineStr">
        <is>
          <t>ظروف الزمان والمكان</t>
        </is>
      </c>
      <c r="D20" s="19" t="n">
        <v>85</v>
      </c>
      <c r="E20" s="20" t="n">
        <v>0.02781</v>
      </c>
      <c r="F20" s="19" t="n">
        <v>798</v>
      </c>
      <c r="G20" s="20" t="n">
        <v>0.01031</v>
      </c>
    </row>
    <row r="21">
      <c r="B21" s="21" t="inlineStr">
        <is>
          <t>TOTAL ISM TIER</t>
        </is>
      </c>
      <c r="C21" s="22" t="inlineStr">
        <is>
          <t>مجموع الجملة للاسْم</t>
        </is>
      </c>
      <c r="D21" s="23">
        <f>SUM(D17:D20)</f>
        <v/>
      </c>
      <c r="E21" s="24">
        <f>SUM(E17:E20)</f>
        <v/>
      </c>
      <c r="F21" s="23">
        <f>SUM(F17:F20)</f>
        <v/>
      </c>
      <c r="G21" s="24">
        <f>SUM(G17:G20)</f>
        <v/>
      </c>
    </row>
  </sheetData>
  <mergeCells count="2">
    <mergeCell ref="B5:G5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2" customWidth="1" min="4" max="4"/>
    <col width="18" customWidth="1" min="5" max="5"/>
    <col width="28" customWidth="1" min="6" max="6"/>
    <col width="14" customWidth="1" min="7" max="7"/>
    <col width="14" customWidth="1" min="8" max="8"/>
    <col width="14" customWidth="1" min="9" max="9"/>
    <col width="26" customWidth="1" min="10" max="10"/>
    <col width="26" customWidth="1" min="11" max="11"/>
    <col width="20" customWidth="1" min="12" max="12"/>
    <col width="22" customWidth="1" min="13" max="13"/>
    <col width="12" customWidth="1" min="14" max="14"/>
    <col width="36" customWidth="1" min="15" max="15"/>
    <col width="42" customWidth="1" min="16" max="16"/>
  </cols>
  <sheetData>
    <row r="1">
      <c r="A1" s="1" t="inlineStr">
        <is>
          <t>Master Catalog of 100% Quranic Noun Lemmas (3,057 Headwords)</t>
        </is>
      </c>
    </row>
    <row r="3">
      <c r="A3" s="25" t="inlineStr">
        <is>
          <t>Rank</t>
        </is>
      </c>
      <c r="B3" s="25" t="inlineStr">
        <is>
          <t>Arabic Lemma (الاسم)</t>
        </is>
      </c>
      <c r="C3" s="25" t="inlineStr">
        <is>
          <t>Transliteration</t>
        </is>
      </c>
      <c r="D3" s="25" t="inlineStr">
        <is>
          <t>Root (الجذر)</t>
        </is>
      </c>
      <c r="E3" s="25" t="inlineStr">
        <is>
          <t>POS Subcategory</t>
        </is>
      </c>
      <c r="F3" s="25" t="inlineStr">
        <is>
          <t>Morphological Pattern / Derivation</t>
        </is>
      </c>
      <c r="G3" s="25" t="inlineStr">
        <is>
          <t>Occurrences</t>
        </is>
      </c>
      <c r="H3" s="25" t="inlineStr">
        <is>
          <t>% Noun Tokens</t>
        </is>
      </c>
      <c r="I3" s="25" t="inlineStr">
        <is>
          <t>% Total Corpus</t>
        </is>
      </c>
      <c r="J3" s="25" t="inlineStr">
        <is>
          <t>Primary Meaning (English)</t>
        </is>
      </c>
      <c r="K3" s="25" t="inlineStr">
        <is>
          <t>Secondary Meaning / Nuance</t>
        </is>
      </c>
      <c r="L3" s="25" t="inlineStr">
        <is>
          <t>Urdu Meaning (اردو)</t>
        </is>
      </c>
      <c r="M3" s="25" t="inlineStr">
        <is>
          <t>French Meaning (Français)</t>
        </is>
      </c>
      <c r="N3" s="25" t="inlineStr">
        <is>
          <t>Verse Key</t>
        </is>
      </c>
      <c r="O3" s="25" t="inlineStr">
        <is>
          <t>Quranic Verse Excerpt</t>
        </is>
      </c>
      <c r="P3" s="25" t="inlineStr">
        <is>
          <t>Verse English Translation</t>
        </is>
      </c>
    </row>
    <row r="4">
      <c r="A4" s="11" t="n">
        <v>1</v>
      </c>
      <c r="B4" s="26" t="inlineStr">
        <is>
          <t>اللَّه</t>
        </is>
      </c>
      <c r="C4" s="12" t="inlineStr">
        <is>
          <t>Allāh</t>
        </is>
      </c>
      <c r="D4" s="11" t="inlineStr">
        <is>
          <t>—</t>
        </is>
      </c>
      <c r="E4" s="12" t="inlineStr">
        <is>
          <t>Proper Noun</t>
        </is>
      </c>
      <c r="F4" s="12" t="inlineStr">
        <is>
          <t>Proper Name of Supreme Deity</t>
        </is>
      </c>
      <c r="G4" s="19" t="n">
        <v>2699</v>
      </c>
      <c r="H4" s="20" t="n">
        <v>0.09428491581080137</v>
      </c>
      <c r="I4" s="20" t="n">
        <v>0.03485774063981196</v>
      </c>
      <c r="J4" s="12" t="inlineStr">
        <is>
          <t>Allah (The Almighty God)</t>
        </is>
      </c>
      <c r="K4" s="12" t="inlineStr">
        <is>
          <t>God / The Sole Creator</t>
        </is>
      </c>
      <c r="L4" s="27" t="inlineStr">
        <is>
          <t>الله</t>
        </is>
      </c>
      <c r="M4" s="12" t="inlineStr">
        <is>
          <t>Allah (Dieu)</t>
        </is>
      </c>
      <c r="N4" s="11" t="inlineStr">
        <is>
          <t>Q1:1</t>
        </is>
      </c>
      <c r="O4" s="26" t="inlineStr">
        <is>
          <t>بِسْمِ اللَّهِ الرَّحْمَٰنِ الرَّحِيمِ</t>
        </is>
      </c>
      <c r="P4" s="12" t="inlineStr">
        <is>
          <t>In the name of Allah, the Entirely Merciful, the Especially Merciful.</t>
        </is>
      </c>
    </row>
    <row r="5">
      <c r="A5" s="8" t="n">
        <v>2</v>
      </c>
      <c r="B5" s="26" t="inlineStr">
        <is>
          <t>رَبّ</t>
        </is>
      </c>
      <c r="C5" s="9" t="inlineStr">
        <is>
          <t>rabb</t>
        </is>
      </c>
      <c r="D5" s="8" t="inlineStr">
        <is>
          <t>ر-ب-ب</t>
        </is>
      </c>
      <c r="E5" s="9" t="inlineStr">
        <is>
          <t>Noun</t>
        </is>
      </c>
      <c r="F5" s="9" t="inlineStr">
        <is>
          <t>Attributive Noun / Owner</t>
        </is>
      </c>
      <c r="G5" s="16" t="n">
        <v>975</v>
      </c>
      <c r="H5" s="17" t="n">
        <v>0.0340599455040872</v>
      </c>
      <c r="I5" s="17" t="n">
        <v>0.01259218122408916</v>
      </c>
      <c r="J5" s="9" t="inlineStr">
        <is>
          <t>Lord / Sustainer</t>
        </is>
      </c>
      <c r="K5" s="9" t="inlineStr">
        <is>
          <t>Owner / Master / Cherisher</t>
        </is>
      </c>
      <c r="L5" s="28" t="inlineStr">
        <is>
          <t>رب / پرورش کرنے والا</t>
        </is>
      </c>
      <c r="M5" s="9" t="inlineStr">
        <is>
          <t>Seigneur / Nourricier</t>
        </is>
      </c>
      <c r="N5" s="8" t="inlineStr">
        <is>
          <t>Q1:2</t>
        </is>
      </c>
      <c r="O5" s="26" t="inlineStr">
        <is>
          <t>الْحَمْدُ لِلَّهِ رَبِّ الْعَالَمِينَ</t>
        </is>
      </c>
      <c r="P5" s="9" t="inlineStr">
        <is>
          <t>All praise is due to Allah, Lord of the worlds.</t>
        </is>
      </c>
    </row>
    <row r="6">
      <c r="A6" s="11" t="n">
        <v>3</v>
      </c>
      <c r="B6" s="26" t="inlineStr">
        <is>
          <t>أَرْض</t>
        </is>
      </c>
      <c r="C6" s="12" t="inlineStr">
        <is>
          <t>arḍ</t>
        </is>
      </c>
      <c r="D6" s="11" t="inlineStr">
        <is>
          <t>أ-ر-ض</t>
        </is>
      </c>
      <c r="E6" s="12" t="inlineStr">
        <is>
          <t>Noun</t>
        </is>
      </c>
      <c r="F6" s="12" t="inlineStr">
        <is>
          <t>Primary Common Noun</t>
        </is>
      </c>
      <c r="G6" s="19" t="n">
        <v>461</v>
      </c>
      <c r="H6" s="20" t="n">
        <v>0.01610424089988123</v>
      </c>
      <c r="I6" s="20" t="n">
        <v>0.005953841583902672</v>
      </c>
      <c r="J6" s="12" t="inlineStr">
        <is>
          <t>Earth / Land</t>
        </is>
      </c>
      <c r="K6" s="12" t="inlineStr">
        <is>
          <t>Ground / Territory / World</t>
        </is>
      </c>
      <c r="L6" s="27" t="inlineStr">
        <is>
          <t>زمین / دھرتی</t>
        </is>
      </c>
      <c r="M6" s="12" t="inlineStr">
        <is>
          <t>Terre / Pays</t>
        </is>
      </c>
      <c r="N6" s="11" t="inlineStr">
        <is>
          <t>Q2:11</t>
        </is>
      </c>
      <c r="O6" s="26" t="inlineStr">
        <is>
          <t>وَإِذَا قِيلَ لَهُمْ لَا تُفْسِدُوا فِي الْأَرْضِ</t>
        </is>
      </c>
      <c r="P6" s="12" t="inlineStr">
        <is>
          <t>And when it is said to them, 'Do not cause corruption on the earth...'</t>
        </is>
      </c>
    </row>
    <row r="7">
      <c r="A7" s="8" t="n">
        <v>4</v>
      </c>
      <c r="B7" s="26" t="inlineStr">
        <is>
          <t>قَوْم</t>
        </is>
      </c>
      <c r="C7" s="9" t="inlineStr">
        <is>
          <t>qawm</t>
        </is>
      </c>
      <c r="D7" s="8" t="inlineStr">
        <is>
          <t>ق-و-م</t>
        </is>
      </c>
      <c r="E7" s="9" t="inlineStr">
        <is>
          <t>Noun</t>
        </is>
      </c>
      <c r="F7" s="9" t="inlineStr">
        <is>
          <t>Verbal Noun / Collective</t>
        </is>
      </c>
      <c r="G7" s="16" t="n">
        <v>383</v>
      </c>
      <c r="H7" s="17" t="n">
        <v>0.01337944525955425</v>
      </c>
      <c r="I7" s="17" t="n">
        <v>0.004946467085975539</v>
      </c>
      <c r="J7" s="9" t="inlineStr">
        <is>
          <t>People / Nation</t>
        </is>
      </c>
      <c r="K7" s="9" t="inlineStr">
        <is>
          <t>Tribe / Community / Folk</t>
        </is>
      </c>
      <c r="L7" s="28" t="inlineStr">
        <is>
          <t>قوم / لوگ</t>
        </is>
      </c>
      <c r="M7" s="9" t="inlineStr">
        <is>
          <t>Peuple / Nation</t>
        </is>
      </c>
      <c r="N7" s="8" t="inlineStr">
        <is>
          <t>Q2:54</t>
        </is>
      </c>
      <c r="O7" s="26" t="inlineStr">
        <is>
          <t>وَإِذَا قَالَ مُوسَىٰ لِقَوْمِهِ</t>
        </is>
      </c>
      <c r="P7" s="9" t="inlineStr">
        <is>
          <t>And when Moses said to his people...</t>
        </is>
      </c>
    </row>
    <row r="8">
      <c r="A8" s="11" t="n">
        <v>5</v>
      </c>
      <c r="B8" s="26" t="inlineStr">
        <is>
          <t>آيَة</t>
        </is>
      </c>
      <c r="C8" s="12" t="inlineStr">
        <is>
          <t>āyah</t>
        </is>
      </c>
      <c r="D8" s="11" t="inlineStr">
        <is>
          <t>أ-ي-ي</t>
        </is>
      </c>
      <c r="E8" s="12" t="inlineStr">
        <is>
          <t>Noun</t>
        </is>
      </c>
      <c r="F8" s="12" t="inlineStr">
        <is>
          <t>Primary Noun</t>
        </is>
      </c>
      <c r="G8" s="19" t="n">
        <v>382</v>
      </c>
      <c r="H8" s="20" t="n">
        <v>0.01334451198211416</v>
      </c>
      <c r="I8" s="20" t="n">
        <v>0.004933552028309807</v>
      </c>
      <c r="J8" s="12" t="inlineStr">
        <is>
          <t>Sign / Verse</t>
        </is>
      </c>
      <c r="K8" s="12" t="inlineStr">
        <is>
          <t>Miracle / Evidence / Proof</t>
        </is>
      </c>
      <c r="L8" s="27" t="inlineStr">
        <is>
          <t>نشان / آیت / معجزہ</t>
        </is>
      </c>
      <c r="M8" s="12" t="inlineStr">
        <is>
          <t>Signe / Verset</t>
        </is>
      </c>
      <c r="N8" s="11" t="inlineStr">
        <is>
          <t>Q2:39</t>
        </is>
      </c>
      <c r="O8" s="26" t="inlineStr">
        <is>
          <t>أُولَٰئِكَ أَصْحَابُ النَّارِ ۖ هُمْ فِيهَا خَالِدُونَ</t>
        </is>
      </c>
      <c r="P8" s="12" t="inlineStr">
        <is>
          <t>Those are the companions of the Fire; they will abide therein eternally.</t>
        </is>
      </c>
    </row>
    <row r="9">
      <c r="A9" s="8" t="n">
        <v>6</v>
      </c>
      <c r="B9" s="26" t="inlineStr">
        <is>
          <t>كُلّ</t>
        </is>
      </c>
      <c r="C9" s="9" t="inlineStr">
        <is>
          <t>kull</t>
        </is>
      </c>
      <c r="D9" s="8" t="inlineStr">
        <is>
          <t>ك-ل-ل</t>
        </is>
      </c>
      <c r="E9" s="9" t="inlineStr">
        <is>
          <t>Noun</t>
        </is>
      </c>
      <c r="F9" s="9" t="inlineStr">
        <is>
          <t>Totalizing Noun</t>
        </is>
      </c>
      <c r="G9" s="16" t="n">
        <v>358</v>
      </c>
      <c r="H9" s="17" t="n">
        <v>0.01250611332355202</v>
      </c>
      <c r="I9" s="17" t="n">
        <v>0.004623590644332227</v>
      </c>
      <c r="J9" s="9" t="inlineStr">
        <is>
          <t>Every / All</t>
        </is>
      </c>
      <c r="K9" s="9" t="inlineStr">
        <is>
          <t>Whole / Entirety</t>
        </is>
      </c>
      <c r="L9" s="28" t="inlineStr">
        <is>
          <t>سب / ہر ایک</t>
        </is>
      </c>
      <c r="M9" s="9" t="inlineStr">
        <is>
          <t>Tout / Chaque</t>
        </is>
      </c>
      <c r="N9" s="8" t="inlineStr">
        <is>
          <t>Q3:185</t>
        </is>
      </c>
      <c r="O9" s="26" t="inlineStr">
        <is>
          <t>كُلُّ نَفْسٍ ذَائِقَةُ الْمَوْتِ</t>
        </is>
      </c>
      <c r="P9" s="9" t="inlineStr">
        <is>
          <t>Every soul shall taste death.</t>
        </is>
      </c>
    </row>
    <row r="10">
      <c r="A10" s="11" t="n">
        <v>7</v>
      </c>
      <c r="B10" s="26" t="inlineStr">
        <is>
          <t>رَسُول</t>
        </is>
      </c>
      <c r="C10" s="12" t="inlineStr">
        <is>
          <t>rasūl</t>
        </is>
      </c>
      <c r="D10" s="11" t="inlineStr">
        <is>
          <t>ر-س-ل</t>
        </is>
      </c>
      <c r="E10" s="12" t="inlineStr">
        <is>
          <t>Noun</t>
        </is>
      </c>
      <c r="F10" s="12" t="inlineStr">
        <is>
          <t>Active Participle Pattern (Fa'ūl)</t>
        </is>
      </c>
      <c r="G10" s="19" t="n">
        <v>332</v>
      </c>
      <c r="H10" s="20" t="n">
        <v>0.01159784811010969</v>
      </c>
      <c r="I10" s="20" t="n">
        <v>0.004287799145023183</v>
      </c>
      <c r="J10" s="12" t="inlineStr">
        <is>
          <t>Messenger / Envoy</t>
        </is>
      </c>
      <c r="K10" s="12" t="inlineStr">
        <is>
          <t>Apostle / Prophet</t>
        </is>
      </c>
      <c r="L10" s="27" t="inlineStr">
        <is>
          <t>رسول / پیامبر</t>
        </is>
      </c>
      <c r="M10" s="12" t="inlineStr">
        <is>
          <t>Messager / Envoyé</t>
        </is>
      </c>
      <c r="N10" s="11" t="inlineStr">
        <is>
          <t>Q3:144</t>
        </is>
      </c>
      <c r="O10" s="26" t="inlineStr">
        <is>
          <t>وَمَا مُحَمَّدٌ إِلَّا رَسُولٌ</t>
        </is>
      </c>
      <c r="P10" s="12" t="inlineStr">
        <is>
          <t>Muhammad is not but a messenger...</t>
        </is>
      </c>
    </row>
    <row r="11">
      <c r="A11" s="8" t="n">
        <v>8</v>
      </c>
      <c r="B11" s="26" t="inlineStr">
        <is>
          <t>يَوْم</t>
        </is>
      </c>
      <c r="C11" s="9" t="inlineStr">
        <is>
          <t>yawm</t>
        </is>
      </c>
      <c r="D11" s="8" t="inlineStr">
        <is>
          <t>ي-و-م</t>
        </is>
      </c>
      <c r="E11" s="9" t="inlineStr">
        <is>
          <t>Time Adverb / Noun</t>
        </is>
      </c>
      <c r="F11" s="9" t="inlineStr">
        <is>
          <t>Temporal Noun (Ẓarf Zamān)</t>
        </is>
      </c>
      <c r="G11" s="16" t="n">
        <v>325</v>
      </c>
      <c r="H11" s="17" t="n">
        <v>0.01135331516802906</v>
      </c>
      <c r="I11" s="17" t="n">
        <v>0.004197393741363055</v>
      </c>
      <c r="J11" s="9" t="inlineStr">
        <is>
          <t>Day / Period</t>
        </is>
      </c>
      <c r="K11" s="9" t="inlineStr">
        <is>
          <t>Era / Day of Judgment</t>
        </is>
      </c>
      <c r="L11" s="28" t="inlineStr">
        <is>
          <t>دن / روز</t>
        </is>
      </c>
      <c r="M11" s="9" t="inlineStr">
        <is>
          <t>Jour / Époque</t>
        </is>
      </c>
      <c r="N11" s="8" t="inlineStr">
        <is>
          <t>Q1:4</t>
        </is>
      </c>
      <c r="O11" s="26" t="inlineStr">
        <is>
          <t>مَالِكِ يَوْمِ الدِّينِ</t>
        </is>
      </c>
      <c r="P11" s="9" t="inlineStr">
        <is>
          <t>Sovereign of the Day of Recompense.</t>
        </is>
      </c>
    </row>
    <row r="12">
      <c r="A12" s="11" t="n">
        <v>9</v>
      </c>
      <c r="B12" s="26" t="inlineStr">
        <is>
          <t>عَذَاب</t>
        </is>
      </c>
      <c r="C12" s="12" t="inlineStr">
        <is>
          <t>ʿadhāb</t>
        </is>
      </c>
      <c r="D12" s="11" t="inlineStr">
        <is>
          <t>ع-ذ-ب</t>
        </is>
      </c>
      <c r="E12" s="12" t="inlineStr">
        <is>
          <t>Noun</t>
        </is>
      </c>
      <c r="F12" s="12" t="inlineStr">
        <is>
          <t>Verbal Noun (Form I)</t>
        </is>
      </c>
      <c r="G12" s="19" t="n">
        <v>322</v>
      </c>
      <c r="H12" s="20" t="n">
        <v>0.0112485153357088</v>
      </c>
      <c r="I12" s="20" t="n">
        <v>0.004158648568365858</v>
      </c>
      <c r="J12" s="12" t="inlineStr">
        <is>
          <t>Punishment / Torment</t>
        </is>
      </c>
      <c r="K12" s="12" t="inlineStr">
        <is>
          <t>Chastisement / Penalty</t>
        </is>
      </c>
      <c r="L12" s="27" t="inlineStr">
        <is>
          <t>عذاب / سزا</t>
        </is>
      </c>
      <c r="M12" s="12" t="inlineStr">
        <is>
          <t>Châtiment / Tourment</t>
        </is>
      </c>
      <c r="N12" s="11" t="inlineStr">
        <is>
          <t>Q2:7</t>
        </is>
      </c>
      <c r="O12" s="26" t="inlineStr">
        <is>
          <t>وَلَهُمْ عَذَابٌ عَظِيمٌ</t>
        </is>
      </c>
      <c r="P12" s="12" t="inlineStr">
        <is>
          <t>And for them is a great punishment.</t>
        </is>
      </c>
    </row>
    <row r="13">
      <c r="A13" s="8" t="n">
        <v>10</v>
      </c>
      <c r="B13" s="26" t="inlineStr">
        <is>
          <t>سَمَاء</t>
        </is>
      </c>
      <c r="C13" s="9" t="inlineStr">
        <is>
          <t>samāʾ</t>
        </is>
      </c>
      <c r="D13" s="8" t="inlineStr">
        <is>
          <t>س-م-و</t>
        </is>
      </c>
      <c r="E13" s="9" t="inlineStr">
        <is>
          <t>Noun</t>
        </is>
      </c>
      <c r="F13" s="9" t="inlineStr">
        <is>
          <t>Primary Noun (Pl. Samāwāt)</t>
        </is>
      </c>
      <c r="G13" s="16" t="n">
        <v>310</v>
      </c>
      <c r="H13" s="17" t="n">
        <v>0.01082931600642772</v>
      </c>
      <c r="I13" s="17" t="n">
        <v>0.004003667876377068</v>
      </c>
      <c r="J13" s="9" t="inlineStr">
        <is>
          <t>Sky / Heaven</t>
        </is>
      </c>
      <c r="K13" s="9" t="inlineStr">
        <is>
          <t>Firmament / Canopy</t>
        </is>
      </c>
      <c r="L13" s="28" t="inlineStr">
        <is>
          <t>آسمان / فلک</t>
        </is>
      </c>
      <c r="M13" s="9" t="inlineStr">
        <is>
          <t>Ciel / Cieux</t>
        </is>
      </c>
      <c r="N13" s="8" t="inlineStr">
        <is>
          <t>Q2:22</t>
        </is>
      </c>
      <c r="O13" s="26" t="inlineStr">
        <is>
          <t>الَّذِي جَعَلَ لَكُمُ الْأَرْضَ فِرَاشًا وَالسَّمَاءَ بِنَاءً</t>
        </is>
      </c>
      <c r="P13" s="9" t="inlineStr">
        <is>
          <t>He who made for you the earth a bed and the sky a ceiling...</t>
        </is>
      </c>
    </row>
    <row r="14">
      <c r="A14" s="11" t="n">
        <v>11</v>
      </c>
      <c r="B14" s="26" t="inlineStr">
        <is>
          <t>نَفْس</t>
        </is>
      </c>
      <c r="C14" s="12" t="inlineStr">
        <is>
          <t>nafs</t>
        </is>
      </c>
      <c r="D14" s="11" t="inlineStr">
        <is>
          <t>ن-ف-س</t>
        </is>
      </c>
      <c r="E14" s="12" t="inlineStr">
        <is>
          <t>Noun</t>
        </is>
      </c>
      <c r="F14" s="12" t="inlineStr">
        <is>
          <t>Primary Noun (Pl. Anfus)</t>
        </is>
      </c>
      <c r="G14" s="19" t="n">
        <v>295</v>
      </c>
      <c r="H14" s="20" t="n">
        <v>0.01030531684482638</v>
      </c>
      <c r="I14" s="20" t="n">
        <v>0.003809942011391081</v>
      </c>
      <c r="J14" s="12" t="inlineStr">
        <is>
          <t>Soul / Self</t>
        </is>
      </c>
      <c r="K14" s="12" t="inlineStr">
        <is>
          <t>Person / Mind / Being</t>
        </is>
      </c>
      <c r="L14" s="27" t="inlineStr">
        <is>
          <t>نفس / جان / ذات</t>
        </is>
      </c>
      <c r="M14" s="12" t="inlineStr">
        <is>
          <t>Âme / Personne</t>
        </is>
      </c>
      <c r="N14" s="11" t="inlineStr">
        <is>
          <t>Q2:48</t>
        </is>
      </c>
      <c r="O14" s="26" t="inlineStr">
        <is>
          <t>وَاتَّقُوا يَوْمًا لَّا تَجْزِي نَفْسٌ عَن نَّفْسٍ شَيْئًا</t>
        </is>
      </c>
      <c r="P14" s="12" t="inlineStr">
        <is>
          <t>And fear a Day when no soul will suffice for another soul at all...</t>
        </is>
      </c>
    </row>
    <row r="15">
      <c r="A15" s="8" t="n">
        <v>12</v>
      </c>
      <c r="B15" s="26" t="inlineStr">
        <is>
          <t>شَيْء</t>
        </is>
      </c>
      <c r="C15" s="9" t="inlineStr">
        <is>
          <t>shayʾ</t>
        </is>
      </c>
      <c r="D15" s="8" t="inlineStr">
        <is>
          <t>ش-ي-أ</t>
        </is>
      </c>
      <c r="E15" s="9" t="inlineStr">
        <is>
          <t>Noun</t>
        </is>
      </c>
      <c r="F15" s="9" t="inlineStr">
        <is>
          <t>Primary Entity Noun</t>
        </is>
      </c>
      <c r="G15" s="16" t="n">
        <v>283</v>
      </c>
      <c r="H15" s="17" t="n">
        <v>0.009886117515545308</v>
      </c>
      <c r="I15" s="17" t="n">
        <v>0.003654961319402291</v>
      </c>
      <c r="J15" s="9" t="inlineStr">
        <is>
          <t>Thing / Matter</t>
        </is>
      </c>
      <c r="K15" s="9" t="inlineStr">
        <is>
          <t>Object / Anything</t>
        </is>
      </c>
      <c r="L15" s="28" t="inlineStr">
        <is>
          <t>شے / چیز</t>
        </is>
      </c>
      <c r="M15" s="9" t="inlineStr">
        <is>
          <t>Chose / Objet</t>
        </is>
      </c>
      <c r="N15" s="8" t="inlineStr">
        <is>
          <t>Q2:20</t>
        </is>
      </c>
      <c r="O15" s="26" t="inlineStr">
        <is>
          <t>إِنَّ اللَّهَ عَلَىٰ كُلِّ شَيْءٍ قَدِيرٌ</t>
        </is>
      </c>
      <c r="P15" s="9" t="inlineStr">
        <is>
          <t>Indeed, Allah is over all things competent.</t>
        </is>
      </c>
    </row>
    <row r="16">
      <c r="A16" s="11" t="n">
        <v>13</v>
      </c>
      <c r="B16" s="26" t="inlineStr">
        <is>
          <t>كِتَاب</t>
        </is>
      </c>
      <c r="C16" s="12" t="inlineStr">
        <is>
          <t>kitāb</t>
        </is>
      </c>
      <c r="D16" s="11" t="inlineStr">
        <is>
          <t>ك-ت-ب</t>
        </is>
      </c>
      <c r="E16" s="12" t="inlineStr">
        <is>
          <t>Noun</t>
        </is>
      </c>
      <c r="F16" s="12" t="inlineStr">
        <is>
          <t>Passive Participle Pattern (Fi'āl)</t>
        </is>
      </c>
      <c r="G16" s="19" t="n">
        <v>260</v>
      </c>
      <c r="H16" s="20" t="n">
        <v>0.009082652134423252</v>
      </c>
      <c r="I16" s="20" t="n">
        <v>0.003357914993090444</v>
      </c>
      <c r="J16" s="12" t="inlineStr">
        <is>
          <t>Book / Scripture</t>
        </is>
      </c>
      <c r="K16" s="12" t="inlineStr">
        <is>
          <t>Record / Decree / Writing</t>
        </is>
      </c>
      <c r="L16" s="27" t="inlineStr">
        <is>
          <t>کتاب / تحریر</t>
        </is>
      </c>
      <c r="M16" s="12" t="inlineStr">
        <is>
          <t>Livre / Écriture</t>
        </is>
      </c>
      <c r="N16" s="11" t="inlineStr">
        <is>
          <t>Q2:2</t>
        </is>
      </c>
      <c r="O16" s="26" t="inlineStr">
        <is>
          <t>ذَٰلِكَ الْكِتَابُ لَا رَيْبَ ۛ فِيهِ</t>
        </is>
      </c>
      <c r="P16" s="12" t="inlineStr">
        <is>
          <t>This is the Book about which there is no doubt...</t>
        </is>
      </c>
    </row>
    <row r="17">
      <c r="A17" s="8" t="n">
        <v>14</v>
      </c>
      <c r="B17" s="26" t="inlineStr">
        <is>
          <t>حَقّ</t>
        </is>
      </c>
      <c r="C17" s="9" t="inlineStr">
        <is>
          <t>ḥaqq</t>
        </is>
      </c>
      <c r="D17" s="8" t="inlineStr">
        <is>
          <t>ح-ق-ق</t>
        </is>
      </c>
      <c r="E17" s="9" t="inlineStr">
        <is>
          <t>Noun / Attribute</t>
        </is>
      </c>
      <c r="F17" s="9" t="inlineStr">
        <is>
          <t>Verbal Noun / Sifah</t>
        </is>
      </c>
      <c r="G17" s="16" t="n">
        <v>242</v>
      </c>
      <c r="H17" s="17" t="n">
        <v>0.008453853140501642</v>
      </c>
      <c r="I17" s="17" t="n">
        <v>0.00312544395510726</v>
      </c>
      <c r="J17" s="9" t="inlineStr">
        <is>
          <t>Truth / Right</t>
        </is>
      </c>
      <c r="K17" s="9" t="inlineStr">
        <is>
          <t>Reality / Just / Certainty</t>
        </is>
      </c>
      <c r="L17" s="28" t="inlineStr">
        <is>
          <t>حق / سچ</t>
        </is>
      </c>
      <c r="M17" s="9" t="inlineStr">
        <is>
          <t>Vérité / Droit</t>
        </is>
      </c>
      <c r="N17" s="8" t="inlineStr">
        <is>
          <t>Q2:42</t>
        </is>
      </c>
      <c r="O17" s="26" t="inlineStr">
        <is>
          <t>وَلَا تَلْبِسُوا الْحَقَّ بِالْبَاطِلِ</t>
        </is>
      </c>
      <c r="P17" s="9" t="inlineStr">
        <is>
          <t>And do not mix the truth with falsehood...</t>
        </is>
      </c>
    </row>
    <row r="18">
      <c r="A18" s="11" t="n">
        <v>15</v>
      </c>
      <c r="B18" s="26" t="inlineStr">
        <is>
          <t>نَاس</t>
        </is>
      </c>
      <c r="C18" s="12" t="inlineStr">
        <is>
          <t>nās</t>
        </is>
      </c>
      <c r="D18" s="11" t="inlineStr">
        <is>
          <t>ن-و-س</t>
        </is>
      </c>
      <c r="E18" s="12" t="inlineStr">
        <is>
          <t>Noun</t>
        </is>
      </c>
      <c r="F18" s="12" t="inlineStr">
        <is>
          <t>Collective Noun (Man)</t>
        </is>
      </c>
      <c r="G18" s="19" t="n">
        <v>241</v>
      </c>
      <c r="H18" s="20" t="n">
        <v>0.008418919863061553</v>
      </c>
      <c r="I18" s="20" t="n">
        <v>0.003112528897441527</v>
      </c>
      <c r="J18" s="12" t="inlineStr">
        <is>
          <t>Mankind / People</t>
        </is>
      </c>
      <c r="K18" s="12" t="inlineStr">
        <is>
          <t>Humanity / Men</t>
        </is>
      </c>
      <c r="L18" s="27" t="inlineStr">
        <is>
          <t>لوگ / انسان</t>
        </is>
      </c>
      <c r="M18" s="12" t="inlineStr">
        <is>
          <t>Les hommes / Gens</t>
        </is>
      </c>
      <c r="N18" s="11" t="inlineStr">
        <is>
          <t>Q114:1</t>
        </is>
      </c>
      <c r="O18" s="26" t="inlineStr">
        <is>
          <t>قُلْ أَعُوذُ بِرَبِّ النَّاسِ</t>
        </is>
      </c>
      <c r="P18" s="12" t="inlineStr">
        <is>
          <t>Say, 'I seek refuge in the Lord of mankind...'</t>
        </is>
      </c>
    </row>
    <row r="19">
      <c r="A19" s="8" t="n">
        <v>16</v>
      </c>
      <c r="B19" s="26" t="inlineStr">
        <is>
          <t>قَبْل</t>
        </is>
      </c>
      <c r="C19" s="9" t="inlineStr">
        <is>
          <t>qabl</t>
        </is>
      </c>
      <c r="D19" s="8" t="inlineStr">
        <is>
          <t>ق-ب-ل</t>
        </is>
      </c>
      <c r="E19" s="9" t="inlineStr">
        <is>
          <t>Time Adverb</t>
        </is>
      </c>
      <c r="F19" s="9" t="inlineStr">
        <is>
          <t>Temporal Adverb (Ẓarf Zamān)</t>
        </is>
      </c>
      <c r="G19" s="16" t="n">
        <v>197</v>
      </c>
      <c r="H19" s="17" t="n">
        <v>0.006881855655697618</v>
      </c>
      <c r="I19" s="17" t="n">
        <v>0.002544266360149298</v>
      </c>
      <c r="J19" s="9" t="inlineStr">
        <is>
          <t>Before / Prior to</t>
        </is>
      </c>
      <c r="K19" s="9" t="inlineStr">
        <is>
          <t>Precedency / Former</t>
        </is>
      </c>
      <c r="L19" s="28" t="inlineStr">
        <is>
          <t>پہلے / قبل</t>
        </is>
      </c>
      <c r="M19" s="9" t="inlineStr">
        <is>
          <t>Avant / Antérieur</t>
        </is>
      </c>
      <c r="N19" s="8" t="inlineStr">
        <is>
          <t>Q2:4</t>
        </is>
      </c>
      <c r="O19" s="26" t="inlineStr">
        <is>
          <t>وَالَّذِينَ يُؤْمِنُونَ بِمَا أُنزِلَ إِلَيْكَ وَمَا أُنزِلَ مِن قَبْلِكَ</t>
        </is>
      </c>
      <c r="P19" s="9" t="inlineStr">
        <is>
          <t>And who believe in what has been revealed to you and what was revealed before you...</t>
        </is>
      </c>
    </row>
    <row r="20">
      <c r="A20" s="11" t="n">
        <v>17</v>
      </c>
      <c r="B20" s="26" t="inlineStr">
        <is>
          <t>مُؤْمِن</t>
        </is>
      </c>
      <c r="C20" s="12" t="inlineStr">
        <is>
          <t>muʾmin</t>
        </is>
      </c>
      <c r="D20" s="11" t="inlineStr">
        <is>
          <t>أ-م-ن</t>
        </is>
      </c>
      <c r="E20" s="12" t="inlineStr">
        <is>
          <t>Adjective</t>
        </is>
      </c>
      <c r="F20" s="12" t="inlineStr">
        <is>
          <t>Active Participle (Form IV)</t>
        </is>
      </c>
      <c r="G20" s="19" t="n">
        <v>195</v>
      </c>
      <c r="H20" s="20" t="n">
        <v>0.006811989100817439</v>
      </c>
      <c r="I20" s="20" t="n">
        <v>0.002518436244817833</v>
      </c>
      <c r="J20" s="12" t="inlineStr">
        <is>
          <t>Believer / Faithful</t>
        </is>
      </c>
      <c r="K20" s="12" t="inlineStr">
        <is>
          <t>One who trusts / Secure</t>
        </is>
      </c>
      <c r="L20" s="27" t="inlineStr">
        <is>
          <t>مومن / ایمان والا</t>
        </is>
      </c>
      <c r="M20" s="12" t="inlineStr">
        <is>
          <t>Croyant / Fidèle</t>
        </is>
      </c>
      <c r="N20" s="11" t="inlineStr">
        <is>
          <t>Q2:85</t>
        </is>
      </c>
      <c r="O20" s="26" t="inlineStr">
        <is>
          <t>فَمَا جَزَاءُ مَن يَفْعَلُ ذَٰلِكَ مِنكُمْ إِلَّا خِزْيٌ</t>
        </is>
      </c>
      <c r="P20" s="12" t="inlineStr">
        <is>
          <t>Believers who uphold covenant...</t>
        </is>
      </c>
    </row>
    <row r="21">
      <c r="A21" s="8" t="n">
        <v>18</v>
      </c>
      <c r="B21" s="26" t="inlineStr">
        <is>
          <t>سَبِيل</t>
        </is>
      </c>
      <c r="C21" s="9" t="inlineStr">
        <is>
          <t>sabīl</t>
        </is>
      </c>
      <c r="D21" s="8" t="inlineStr">
        <is>
          <t>س-ب-ل</t>
        </is>
      </c>
      <c r="E21" s="9" t="inlineStr">
        <is>
          <t>Noun</t>
        </is>
      </c>
      <c r="F21" s="9" t="inlineStr">
        <is>
          <t>Naskh Pattern (Fa'īl)</t>
        </is>
      </c>
      <c r="G21" s="16" t="n">
        <v>176</v>
      </c>
      <c r="H21" s="17" t="n">
        <v>0.00614825682945574</v>
      </c>
      <c r="I21" s="17" t="n">
        <v>0.002273050149168916</v>
      </c>
      <c r="J21" s="9" t="inlineStr">
        <is>
          <t>Way / Path</t>
        </is>
      </c>
      <c r="K21" s="9" t="inlineStr">
        <is>
          <t>Course / Means / Road</t>
        </is>
      </c>
      <c r="L21" s="28" t="inlineStr">
        <is>
          <t>راستہ / سبیل</t>
        </is>
      </c>
      <c r="M21" s="9" t="inlineStr">
        <is>
          <t>Voie / Chemin</t>
        </is>
      </c>
      <c r="N21" s="8" t="inlineStr">
        <is>
          <t>Q2:108</t>
        </is>
      </c>
      <c r="O21" s="26" t="inlineStr">
        <is>
          <t>فَقَدْ ضَلَّ سَوَاءَ السَّبِيلِ</t>
        </is>
      </c>
      <c r="P21" s="9" t="inlineStr">
        <is>
          <t>He has certainly strayed from the soundness of the way.</t>
        </is>
      </c>
    </row>
    <row r="22">
      <c r="A22" s="11" t="n">
        <v>19</v>
      </c>
      <c r="B22" s="26" t="inlineStr">
        <is>
          <t>أَمْر</t>
        </is>
      </c>
      <c r="C22" s="12" t="inlineStr">
        <is>
          <t>amr</t>
        </is>
      </c>
      <c r="D22" s="11" t="inlineStr">
        <is>
          <t>أ-م-ر</t>
        </is>
      </c>
      <c r="E22" s="12" t="inlineStr">
        <is>
          <t>Noun</t>
        </is>
      </c>
      <c r="F22" s="12" t="inlineStr">
        <is>
          <t>Verbal Noun (Form I)</t>
        </is>
      </c>
      <c r="G22" s="19" t="n">
        <v>166</v>
      </c>
      <c r="H22" s="20" t="n">
        <v>0.005798924055054846</v>
      </c>
      <c r="I22" s="20" t="n">
        <v>0.002143899572511591</v>
      </c>
      <c r="J22" s="12" t="inlineStr">
        <is>
          <t>Command / Affair</t>
        </is>
      </c>
      <c r="K22" s="12" t="inlineStr">
        <is>
          <t>Matter / Decree / Order</t>
        </is>
      </c>
      <c r="L22" s="27" t="inlineStr">
        <is>
          <t>حکم / معاملـہ</t>
        </is>
      </c>
      <c r="M22" s="12" t="inlineStr">
        <is>
          <t>Ordre / Affaire</t>
        </is>
      </c>
      <c r="N22" s="11" t="inlineStr">
        <is>
          <t>Q2:109</t>
        </is>
      </c>
      <c r="O22" s="26" t="inlineStr">
        <is>
          <t>حَتَّىٰ يَأْتِيَ اللَّهُ بِأَمْرِهِ</t>
        </is>
      </c>
      <c r="P22" s="12" t="inlineStr">
        <is>
          <t>Until Allah carries out His command.</t>
        </is>
      </c>
    </row>
    <row r="23">
      <c r="A23" s="8" t="n">
        <v>20</v>
      </c>
      <c r="B23" s="26" t="inlineStr">
        <is>
          <t>عَالَم</t>
        </is>
      </c>
      <c r="C23" s="9" t="inlineStr">
        <is>
          <t>ʿālam</t>
        </is>
      </c>
      <c r="D23" s="8" t="inlineStr">
        <is>
          <t>ع-ل-م</t>
        </is>
      </c>
      <c r="E23" s="9" t="inlineStr">
        <is>
          <t>Noun</t>
        </is>
      </c>
      <c r="F23" s="9" t="inlineStr">
        <is>
          <t>Noun of Location/Realm</t>
        </is>
      </c>
      <c r="G23" s="16" t="n">
        <v>160</v>
      </c>
      <c r="H23" s="17" t="n">
        <v>0.005589324390414309</v>
      </c>
      <c r="I23" s="17" t="n">
        <v>0.002066409226517196</v>
      </c>
      <c r="J23" s="9" t="inlineStr">
        <is>
          <t>World / Universe</t>
        </is>
      </c>
      <c r="K23" s="9" t="inlineStr">
        <is>
          <t>Creation / Realms of Beings</t>
        </is>
      </c>
      <c r="L23" s="28" t="inlineStr">
        <is>
          <t>عالم / جہان</t>
        </is>
      </c>
      <c r="M23" s="9" t="inlineStr">
        <is>
          <t>Monde / Univers</t>
        </is>
      </c>
      <c r="N23" s="8" t="inlineStr">
        <is>
          <t>Q1:2</t>
        </is>
      </c>
      <c r="O23" s="26" t="inlineStr">
        <is>
          <t>الْحَمْدُ لِلَّهِ رَبِّ الْعَالَمِينَ</t>
        </is>
      </c>
      <c r="P23" s="9" t="inlineStr">
        <is>
          <t>All praise is due to Allah, Lord of the worlds.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18" customWidth="1" min="4" max="4"/>
    <col width="69" customWidth="1" min="5" max="5"/>
  </cols>
  <sheetData>
    <row r="1"/>
    <row r="2">
      <c r="B2" s="1" t="inlineStr">
        <is>
          <t>Dataset Integrity &amp; Formula Validation Protocol</t>
        </is>
      </c>
    </row>
    <row r="3"/>
    <row r="4">
      <c r="B4" s="25" t="inlineStr">
        <is>
          <t>Check Item</t>
        </is>
      </c>
      <c r="C4" s="25" t="inlineStr">
        <is>
          <t>Formula / Rule</t>
        </is>
      </c>
      <c r="D4" s="25" t="inlineStr">
        <is>
          <t>Expected Result</t>
        </is>
      </c>
      <c r="E4" s="25" t="inlineStr">
        <is>
          <t>Status</t>
        </is>
      </c>
    </row>
    <row r="5">
      <c r="B5" s="18" t="inlineStr">
        <is>
          <t>Subcategory Lemma Sum Check</t>
        </is>
      </c>
      <c r="C5" s="29">
        <f>SUM('Executive Overview'!D17:D20)</f>
        <v/>
      </c>
      <c r="D5" s="19" t="n">
        <v>3057</v>
      </c>
      <c r="E5" s="30">
        <f>IF('Executive Overview'!D21=3057, "✅ PASS", "❌ FAIL")</f>
        <v/>
      </c>
    </row>
    <row r="6">
      <c r="B6" s="18" t="inlineStr">
        <is>
          <t>Subcategory Share Sum Check</t>
        </is>
      </c>
      <c r="C6" s="29">
        <f>SUM('Executive Overview'!E17:E20)</f>
        <v/>
      </c>
      <c r="D6" s="20" t="n">
        <v>1</v>
      </c>
      <c r="E6" s="30">
        <f>IF(ROUND('Executive Overview'!E21, 4)=1.0000, "✅ PASS", "❌ FAIL")</f>
        <v/>
      </c>
    </row>
    <row r="7">
      <c r="B7" s="18" t="inlineStr">
        <is>
          <t>Token Occurrence Sum Check</t>
        </is>
      </c>
      <c r="C7" s="29">
        <f>SUM('Executive Overview'!F17:F20)</f>
        <v/>
      </c>
      <c r="D7" s="19" t="n">
        <v>28626</v>
      </c>
      <c r="E7" s="30">
        <f>IF('Executive Overview'!F21=28626, "✅ PASS", "❌ FAIL")</f>
        <v/>
      </c>
    </row>
    <row r="8">
      <c r="B8" s="18" t="inlineStr">
        <is>
          <t>Corpus Percentage Sum Check</t>
        </is>
      </c>
      <c r="C8" s="29">
        <f>SUM('Executive Overview'!G17:G20)</f>
        <v/>
      </c>
      <c r="D8" s="20" t="n">
        <v>0.3697</v>
      </c>
      <c r="E8" s="30">
        <f>IF(ROUND('Executive Overview'!G21, 4)=0.3697, "✅ PASS", "❌ 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2026-09-01T13:12:17Z</dcterms:created>
  <dcterms:modified xmlns:dcterms="http://purl.org/dc/terms/" xmlns:xsi="http://www.w3.org/2001/XMLSchema-instance" xsi:type="dcterms:W3CDTF">2026-09-01T13:12:17Z</dcterms:modified>
</cp:coreProperties>
</file>