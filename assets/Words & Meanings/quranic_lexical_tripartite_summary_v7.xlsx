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sm (Nominals)" sheetId="2" state="visible" r:id="rId2"/>
    <sheet xmlns:r="http://schemas.openxmlformats.org/officeDocument/2006/relationships" name="Fi'l (Verbs)" sheetId="3" state="visible" r:id="rId3"/>
    <sheet xmlns:r="http://schemas.openxmlformats.org/officeDocument/2006/relationships" name="Ḥarf (Particles)" sheetId="4" state="visible" r:id="rId4"/>
    <sheet xmlns:r="http://schemas.openxmlformats.org/officeDocument/2006/relationships" name="Linguistic &amp; Zipf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100.0%"/>
  </numFmts>
  <fonts count="8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1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Traditional Arabic"/>
      <b val="1"/>
      <color rgb="001F497D"/>
      <sz val="14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2F5496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  <border>
      <left/>
      <right/>
      <top style="medium">
        <color rgb="002F5496"/>
      </top>
      <bottom/>
      <diagonal/>
    </border>
    <border>
      <left/>
      <right style="thin">
        <color rgb="00D9D9D9"/>
      </right>
      <top style="medium">
        <color rgb="002F5496"/>
      </top>
      <bottom/>
      <diagonal/>
    </border>
    <border>
      <left/>
      <right/>
      <top style="medium">
        <color rgb="002F5496"/>
      </top>
      <bottom style="medium">
        <color rgb="002F5496"/>
      </bottom>
      <diagonal/>
    </border>
    <border>
      <left/>
      <right style="thin">
        <color rgb="00D9D9D9"/>
      </right>
      <top style="medium">
        <color rgb="002F5496"/>
      </top>
      <bottom style="medium">
        <color rgb="002F5496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3" fontId="6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0" fontId="6" fillId="0" borderId="2" applyAlignment="1" pivotButton="0" quotePrefix="0" xfId="0">
      <alignment horizontal="right" vertical="center" wrapText="1"/>
    </xf>
    <xf numFmtId="2" fontId="6" fillId="0" borderId="2" applyAlignment="1" pivotButton="0" quotePrefix="0" xfId="0">
      <alignment horizontal="right" vertical="center" wrapText="1"/>
    </xf>
    <xf numFmtId="0" fontId="5" fillId="0" borderId="3" pivotButton="0" quotePrefix="0" xfId="0"/>
    <xf numFmtId="0" fontId="6" fillId="0" borderId="3" applyAlignment="1" pivotButton="0" quotePrefix="0" xfId="0">
      <alignment horizontal="center" vertical="center" wrapText="1"/>
    </xf>
    <xf numFmtId="3" fontId="5" fillId="4" borderId="3" applyAlignment="1" pivotButton="0" quotePrefix="0" xfId="0">
      <alignment horizontal="right" vertical="center" wrapText="1"/>
    </xf>
    <xf numFmtId="164" fontId="5" fillId="4" borderId="3" applyAlignment="1" pivotButton="0" quotePrefix="0" xfId="0">
      <alignment horizontal="right" vertical="center" wrapText="1"/>
    </xf>
    <xf numFmtId="2" fontId="5" fillId="4" borderId="3" applyAlignment="1" pivotButton="0" quotePrefix="0" xfId="0">
      <alignment horizontal="righ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3" fontId="5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30" customWidth="1" min="4" max="4"/>
    <col width="18" customWidth="1" min="5" max="5"/>
    <col width="25" customWidth="1" min="6" max="6"/>
    <col width="18" customWidth="1" min="7" max="7"/>
    <col width="25" customWidth="1" min="8" max="8"/>
    <col width="18" customWidth="1" min="9" max="9"/>
  </cols>
  <sheetData>
    <row r="1" ht="25" customHeight="1">
      <c r="A1" s="1" t="inlineStr">
        <is>
          <t>THE HOLY QURAN — MASTER LEXICAL TRIPARTITE ARCHITECTURE (v6.0)</t>
        </is>
      </c>
    </row>
    <row r="2" ht="18" customHeight="1">
      <c r="A2" s="2" t="inlineStr">
        <is>
          <t>100% Comprehensive Quantitative Synthesis of Nouns (Ism), Verbs (Fi'l), and Particles (Harf)</t>
        </is>
      </c>
    </row>
    <row r="3"/>
    <row r="4">
      <c r="A4" s="3" t="inlineStr">
        <is>
          <t>1. Master Corpus Inventory Summary</t>
        </is>
      </c>
    </row>
    <row r="5" ht="24" customHeight="1">
      <c r="A5" s="4" t="inlineStr">
        <is>
          <t>Linguistic Metric</t>
        </is>
      </c>
      <c r="B5" s="4" t="inlineStr">
        <is>
          <t>Exact Value / Checksum</t>
        </is>
      </c>
      <c r="C5" s="4" t="inlineStr">
        <is>
          <t xml:space="preserve"> L2 Clitic Tokenization Details</t>
        </is>
      </c>
      <c r="D5" s="4" t="inlineStr">
        <is>
          <t>Linguistic Description</t>
        </is>
      </c>
    </row>
    <row r="6" ht="20" customHeight="1">
      <c r="A6" s="5" t="inlineStr">
        <is>
          <t>Total Running Word Tokens</t>
        </is>
      </c>
      <c r="B6" s="6" t="n">
        <v>77429</v>
      </c>
      <c r="C6" s="7" t="inlineStr">
        <is>
          <t>Standard Clitic-Combined Spaced Words</t>
        </is>
      </c>
      <c r="D6" s="7" t="inlineStr">
        <is>
          <t>Total running word tokens across 114 surahs and 6,236 verses.</t>
        </is>
      </c>
    </row>
    <row r="7" ht="20" customHeight="1">
      <c r="A7" s="5" t="inlineStr">
        <is>
          <t>Unique Surface Word Forms</t>
        </is>
      </c>
      <c r="B7" s="6" t="n">
        <v>19009</v>
      </c>
      <c r="C7" s="7" t="inlineStr">
        <is>
          <t>Orthographically Distinct Inflected Forms</t>
        </is>
      </c>
      <c r="D7" s="7" t="inlineStr">
        <is>
          <t>Complete orthographic variety of noun, verb, and particle forms.</t>
        </is>
      </c>
    </row>
    <row r="8" ht="20" customHeight="1">
      <c r="A8" s="5" t="inlineStr">
        <is>
          <t>Total Unique Base Lemmas</t>
        </is>
      </c>
      <c r="B8" s="6" t="n">
        <v>4616</v>
      </c>
      <c r="C8" s="7" t="inlineStr">
        <is>
          <t>Base Headwords (Dictionary Lemmatization)</t>
        </is>
      </c>
      <c r="D8" s="7" t="inlineStr">
        <is>
          <t>Unique dictionary lemmas consisting of Ism, Fi'l, and Harf.</t>
        </is>
      </c>
    </row>
    <row r="9" ht="20" customHeight="1">
      <c r="A9" s="5" t="inlineStr">
        <is>
          <t>Consonantal Root Matrices (Jadhr)</t>
        </is>
      </c>
      <c r="B9" s="6" t="n">
        <v>1685</v>
      </c>
      <c r="C9" s="7" t="inlineStr">
        <is>
          <t>Triliteral &amp; Quadriliteral Core Roots</t>
        </is>
      </c>
      <c r="D9" s="7" t="inlineStr">
        <is>
          <t>Core consonantal roots generating all nominal and verbal stems.</t>
        </is>
      </c>
    </row>
    <row r="10"/>
    <row r="11">
      <c r="A11" s="3" t="inlineStr">
        <is>
          <t>2. Traditional Tripartite Distribution (100% Structural Checksum)</t>
        </is>
      </c>
    </row>
    <row r="12" ht="24" customHeight="1">
      <c r="A12" s="8" t="inlineStr">
        <is>
          <t>Classical Grammatical Category</t>
        </is>
      </c>
      <c r="B12" s="8" t="inlineStr">
        <is>
          <t>Arabic</t>
        </is>
      </c>
      <c r="C12" s="8" t="inlineStr">
        <is>
          <t>Unique Lemmas</t>
        </is>
      </c>
      <c r="D12" s="8" t="inlineStr">
        <is>
          <t>% of Lemmas</t>
        </is>
      </c>
      <c r="E12" s="8" t="inlineStr">
        <is>
          <t>Unique Surface Forms</t>
        </is>
      </c>
      <c r="F12" s="8" t="inlineStr">
        <is>
          <t>% of Surface Forms</t>
        </is>
      </c>
      <c r="G12" s="8" t="inlineStr">
        <is>
          <t>Total Tokens</t>
        </is>
      </c>
      <c r="H12" s="8" t="inlineStr">
        <is>
          <t>% of Total Corpus</t>
        </is>
      </c>
      <c r="I12" s="8" t="inlineStr">
        <is>
          <t>Average Repeats / Lemma</t>
        </is>
      </c>
    </row>
    <row r="13" ht="22" customHeight="1">
      <c r="A13" s="5" t="inlineStr">
        <is>
          <t>اِسم (Ism — Nominals)</t>
        </is>
      </c>
      <c r="B13" s="9" t="inlineStr">
        <is>
          <t>اسم</t>
        </is>
      </c>
      <c r="C13" s="6" t="n">
        <v>3057</v>
      </c>
      <c r="D13" s="10">
        <f>C13/$C$16</f>
        <v/>
      </c>
      <c r="E13" s="6" t="n">
        <v>9789</v>
      </c>
      <c r="F13" s="10">
        <f>E13/$E$16</f>
        <v/>
      </c>
      <c r="G13" s="6" t="n">
        <v>42476</v>
      </c>
      <c r="H13" s="10">
        <f>G13/$G$16</f>
        <v/>
      </c>
      <c r="I13" s="11">
        <f>G13/C13</f>
        <v/>
      </c>
    </row>
    <row r="14" ht="22" customHeight="1">
      <c r="A14" s="5" t="inlineStr">
        <is>
          <t>فِعْل (Fi'l — Verbs)</t>
        </is>
      </c>
      <c r="B14" s="9" t="inlineStr">
        <is>
          <t>فعل</t>
        </is>
      </c>
      <c r="C14" s="6" t="n">
        <v>1479</v>
      </c>
      <c r="D14" s="10">
        <f>C14/$C$16</f>
        <v/>
      </c>
      <c r="E14" s="6" t="n">
        <v>8265</v>
      </c>
      <c r="F14" s="10">
        <f>E14/$E$16</f>
        <v/>
      </c>
      <c r="G14" s="6" t="n">
        <v>13491</v>
      </c>
      <c r="H14" s="10">
        <f>G14/$G$16</f>
        <v/>
      </c>
      <c r="I14" s="11">
        <f>G14/C14</f>
        <v/>
      </c>
    </row>
    <row r="15" ht="22" customHeight="1">
      <c r="A15" s="5" t="inlineStr">
        <is>
          <t>حَرْف (Ḥarf — Particles)</t>
        </is>
      </c>
      <c r="B15" s="9" t="inlineStr">
        <is>
          <t>حرف</t>
        </is>
      </c>
      <c r="C15" s="6" t="n">
        <v>173</v>
      </c>
      <c r="D15" s="10">
        <f>C15/$C$16</f>
        <v/>
      </c>
      <c r="E15" s="6" t="n">
        <v>1036</v>
      </c>
      <c r="F15" s="10">
        <f>E15/$E$16</f>
        <v/>
      </c>
      <c r="G15" s="6" t="n">
        <v>21462</v>
      </c>
      <c r="H15" s="10">
        <f>G15/$G$16</f>
        <v/>
      </c>
      <c r="I15" s="11">
        <f>G15/C15</f>
        <v/>
      </c>
    </row>
    <row r="16" ht="22" customHeight="1">
      <c r="A16" s="12" t="inlineStr">
        <is>
          <t>TOTALS (Comprehensive Checksum)</t>
        </is>
      </c>
      <c r="B16" s="13" t="inlineStr">
        <is>
          <t>—</t>
        </is>
      </c>
      <c r="C16" s="14">
        <f>SUM(C13:C15)</f>
        <v/>
      </c>
      <c r="D16" s="15">
        <f>SUM(D13:D15)</f>
        <v/>
      </c>
      <c r="E16" s="14">
        <f>SUM(E13:E15)</f>
        <v/>
      </c>
      <c r="F16" s="15">
        <f>SUM(F13:F15)</f>
        <v/>
      </c>
      <c r="G16" s="14">
        <f>SUM(G13:G15)</f>
        <v/>
      </c>
      <c r="H16" s="15">
        <f>SUM(H13:H15)</f>
        <v/>
      </c>
      <c r="I16" s="16">
        <f>G16/C16</f>
        <v/>
      </c>
    </row>
    <row r="17"/>
    <row r="18">
      <c r="A18" s="3" t="inlineStr">
        <is>
          <t>3. Morphosyntactic &amp; Theological Mechanics of the Tripartite Division</t>
        </is>
      </c>
    </row>
    <row r="19" ht="24" customHeight="1">
      <c r="A19" s="4" t="inlineStr">
        <is>
          <t>Category / সেন্টেন্স টাইপ</t>
        </is>
      </c>
      <c r="B19" s="4" t="inlineStr">
        <is>
          <t>Grammatical Function (ব্যাকরণগত কার্যাবলী)</t>
        </is>
      </c>
      <c r="C19" s="17" t="n"/>
      <c r="D19" s="18" t="n"/>
      <c r="E19" s="4" t="inlineStr">
        <is>
          <t>Theological Dimension &amp; Application (ধর্মতাত্ত্বিক উপযোগিতা ও তত্ত্ব)</t>
        </is>
      </c>
      <c r="F19" s="17" t="n"/>
      <c r="G19" s="17" t="n"/>
      <c r="H19" s="17" t="n"/>
      <c r="I19" s="18" t="n"/>
    </row>
    <row r="20" ht="45" customHeight="1">
      <c r="A20" s="5" t="inlineStr">
        <is>
          <t>اِسم (Ism - Nominals)</t>
        </is>
      </c>
      <c r="B20" s="7" t="inlineStr">
        <is>
          <t>Designates a person, place, object, concept, or quality. It does not carry an inherent temporal tense in its morphology.</t>
        </is>
      </c>
      <c r="C20" s="19" t="n"/>
      <c r="D20" s="19" t="n"/>
      <c r="E20" s="7" t="inlineStr">
        <is>
          <t>Ism-initiated nominal sentences (Al-Jumla al-Ismiyya) convey unchanging, timeless, and permanent realities, such as Divine Attributes (e.g. Allah, Al-Khaliq, Ar-Rahman) and absolute cosmic laws [2:255].</t>
        </is>
      </c>
      <c r="F20" s="19" t="n"/>
      <c r="G20" s="19" t="n"/>
      <c r="H20" s="19" t="n"/>
      <c r="I20" s="19" t="n"/>
    </row>
    <row r="21" ht="45" customHeight="1">
      <c r="A21" s="5" t="inlineStr">
        <is>
          <t>فِعْل (Fi'l - Verbs)</t>
        </is>
      </c>
      <c r="B21" s="7" t="inlineStr">
        <is>
          <t>Denotes an action or state of being intrinsically bound to one of three times: perfect (past), imperfect (present/future), or imperative (command).</t>
        </is>
      </c>
      <c r="C21" s="19" t="n"/>
      <c r="D21" s="19" t="n"/>
      <c r="E21" s="7" t="inlineStr">
        <is>
          <t>Fi'l-initiated verbal sentences (Al-Jumla al-Fi'liyya) convey dynamic change, action, and human volition. Used for historical narratives, legal decrees, and progressive testing [2:30].</t>
        </is>
      </c>
      <c r="F21" s="19" t="n"/>
      <c r="G21" s="19" t="n"/>
      <c r="H21" s="19" t="n"/>
      <c r="I21" s="19" t="n"/>
    </row>
    <row r="22" ht="45" customHeight="1">
      <c r="A22" s="5" t="inlineStr">
        <is>
          <t>حَرْف (Ḥarf - Particles)</t>
        </is>
      </c>
      <c r="B22" s="7" t="inlineStr">
        <is>
          <t>Rootless function words (prepositions, conjunctions, negations, exceptives) that hold no independent meaning unless joined to an Ism or Fi'l.</t>
        </is>
      </c>
      <c r="C22" s="19" t="n"/>
      <c r="D22" s="19" t="n"/>
      <c r="E22" s="7" t="inlineStr">
        <is>
          <t>Acts as logical connectors, syntax regulators, and conditional logic gates. Governs case endings (i'rab) of nouns and grammatical moods of verbs, forming the structural skeletal system of the text.</t>
        </is>
      </c>
      <c r="F22" s="19" t="n"/>
      <c r="G22" s="19" t="n"/>
      <c r="H22" s="19" t="n"/>
      <c r="I22" s="19" t="n"/>
    </row>
  </sheetData>
  <mergeCells count="8">
    <mergeCell ref="E21:I21"/>
    <mergeCell ref="B19:D19"/>
    <mergeCell ref="E20:I20"/>
    <mergeCell ref="B22:D22"/>
    <mergeCell ref="E19:I19"/>
    <mergeCell ref="B21:D21"/>
    <mergeCell ref="E22:I2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0" customWidth="1" min="4" max="4"/>
    <col width="16" customWidth="1" min="5" max="5"/>
    <col width="10" customWidth="1" min="6" max="6"/>
    <col width="16" customWidth="1" min="7" max="7"/>
    <col width="16" customWidth="1" min="8" max="8"/>
    <col width="25" customWidth="1" min="9" max="9"/>
    <col width="25" customWidth="1" min="10" max="10"/>
    <col width="25" customWidth="1" min="11" max="11"/>
  </cols>
  <sheetData>
    <row r="1" ht="25" customHeight="1">
      <c r="A1" s="1" t="inlineStr">
        <is>
          <t>CLASS I: ISM (اِسم — NOMINALS &amp; NOUNS)</t>
        </is>
      </c>
    </row>
    <row r="2" ht="18" customHeight="1">
      <c r="A2" s="2" t="inlineStr">
        <is>
          <t>Detailed Morphological Audit and Frequency Statistics for Nouns, Adjectives, Proper Names, and Adverbs</t>
        </is>
      </c>
    </row>
    <row r="3"/>
    <row r="4">
      <c r="A4" s="3" t="inlineStr">
        <is>
          <t>1. Nominal Subcategory Breakdown</t>
        </is>
      </c>
    </row>
    <row r="5" ht="24" customHeight="1">
      <c r="A5" s="8" t="inlineStr">
        <is>
          <t>Subcategory Type</t>
        </is>
      </c>
      <c r="B5" s="8" t="inlineStr">
        <is>
          <t>Arabic Equivalent</t>
        </is>
      </c>
      <c r="C5" s="8" t="inlineStr">
        <is>
          <t>Lemma Count</t>
        </is>
      </c>
      <c r="D5" s="8" t="inlineStr">
        <is>
          <t>% of Ism Tier</t>
        </is>
      </c>
      <c r="E5" s="8" t="inlineStr">
        <is>
          <t>% of Total Corpus</t>
        </is>
      </c>
      <c r="F5" s="8" t="inlineStr">
        <is>
          <t>Linguistic Scope</t>
        </is>
      </c>
    </row>
    <row r="6" ht="20" customHeight="1">
      <c r="A6" s="5" t="inlineStr">
        <is>
          <t>General Common Nouns (Substantives)</t>
        </is>
      </c>
      <c r="B6" s="9" t="inlineStr">
        <is>
          <t>اسم عام</t>
        </is>
      </c>
      <c r="C6" s="6" t="n">
        <v>2185</v>
      </c>
      <c r="D6" s="10">
        <f>C6/3057</f>
        <v/>
      </c>
      <c r="E6" s="10">
        <f>C6/4616</f>
        <v/>
      </c>
      <c r="F6" s="7" t="inlineStr">
        <is>
          <t>Substantives, concepts, concrete objects, and entities (e.g. qalb 'heart', 'ilm 'knowledge').</t>
        </is>
      </c>
    </row>
    <row r="7" ht="20" customHeight="1">
      <c r="A7" s="5" t="inlineStr">
        <is>
          <t>Adjectives &amp; Attributes (Sifah)</t>
        </is>
      </c>
      <c r="B7" s="9" t="inlineStr">
        <is>
          <t>صفة</t>
        </is>
      </c>
      <c r="C7" s="6" t="n">
        <v>642</v>
      </c>
      <c r="D7" s="10">
        <f>C7/3057</f>
        <v/>
      </c>
      <c r="E7" s="10">
        <f>C7/4616</f>
        <v/>
      </c>
      <c r="F7" s="7" t="inlineStr">
        <is>
          <t>Qualities, epithets, active/passive participles, and Divine Attributes (e.g. rahim 'merciful').</t>
        </is>
      </c>
    </row>
    <row r="8" ht="20" customHeight="1">
      <c r="A8" s="5" t="inlineStr">
        <is>
          <t>Proper Nouns (Names &amp; Places)</t>
        </is>
      </c>
      <c r="B8" s="9" t="inlineStr">
        <is>
          <t>اسم علم</t>
        </is>
      </c>
      <c r="C8" s="6" t="n">
        <v>145</v>
      </c>
      <c r="D8" s="10">
        <f>C8/3057</f>
        <v/>
      </c>
      <c r="E8" s="10">
        <f>C8/4616</f>
        <v/>
      </c>
      <c r="F8" s="7" t="inlineStr">
        <is>
          <t>Names of prophets, sacred cities, scriptures, and historical figures (e.g. Ibrahim, Makkah).</t>
        </is>
      </c>
    </row>
    <row r="9" ht="20" customHeight="1">
      <c r="A9" s="5" t="inlineStr">
        <is>
          <t>Time &amp; Location Adverbs (Ẓurūf)</t>
        </is>
      </c>
      <c r="B9" s="9" t="inlineStr">
        <is>
          <t>ظرف زمان ومكان</t>
        </is>
      </c>
      <c r="C9" s="6" t="n">
        <v>85</v>
      </c>
      <c r="D9" s="10">
        <f>C9/3057</f>
        <v/>
      </c>
      <c r="E9" s="10">
        <f>C9/4616</f>
        <v/>
      </c>
      <c r="F9" s="7" t="inlineStr">
        <is>
          <t>Spatial and temporal markers positioning nominal or verbal actions (e.g. yawm 'day', taht 'under').</t>
        </is>
      </c>
    </row>
    <row r="10"/>
    <row r="11"/>
    <row r="12">
      <c r="A12" s="3" t="inlineStr">
        <is>
          <t>2. Top 15 Highly Productive Noun Lemmas with Complete Verified Contexts</t>
        </is>
      </c>
    </row>
    <row r="13" ht="24" customHeight="1">
      <c r="A13" s="4" t="inlineStr">
        <is>
          <t>Rank</t>
        </is>
      </c>
      <c r="B13" s="4" t="inlineStr">
        <is>
          <t>Arabic Noun Lemma</t>
        </is>
      </c>
      <c r="C13" s="4" t="inlineStr">
        <is>
          <t>Transliteration</t>
        </is>
      </c>
      <c r="D13" s="4" t="inlineStr">
        <is>
          <t>Triliteral Root</t>
        </is>
      </c>
      <c r="E13" s="4" t="inlineStr">
        <is>
          <t>POS Subcategory</t>
        </is>
      </c>
      <c r="F13" s="4" t="inlineStr">
        <is>
          <t>Occurrences</t>
        </is>
      </c>
      <c r="G13" s="4" t="inlineStr">
        <is>
          <t>% of Noun Tokens</t>
        </is>
      </c>
      <c r="H13" s="4" t="inlineStr">
        <is>
          <t>% of Corpus Tokens</t>
        </is>
      </c>
      <c r="I13" s="4" t="inlineStr">
        <is>
          <t>English Core Meaning</t>
        </is>
      </c>
      <c r="J13" s="4" t="inlineStr">
        <is>
          <t>Bangla Meaning (বাংলা)</t>
        </is>
      </c>
      <c r="K13" s="4" t="inlineStr">
        <is>
          <t>Urdu Meaning (اردو)</t>
        </is>
      </c>
    </row>
    <row r="14" ht="22" customHeight="1">
      <c r="A14" s="20" t="n">
        <v>1</v>
      </c>
      <c r="B14" s="9" t="inlineStr">
        <is>
          <t>اللَّه</t>
        </is>
      </c>
      <c r="C14" s="7" t="inlineStr">
        <is>
          <t>Allāh</t>
        </is>
      </c>
      <c r="D14" s="21" t="inlineStr">
        <is>
          <t>—</t>
        </is>
      </c>
      <c r="E14" s="7" t="inlineStr">
        <is>
          <t>Proper Noun</t>
        </is>
      </c>
      <c r="F14" s="22" t="n">
        <v>2699</v>
      </c>
      <c r="G14" s="10">
        <f>F14/42476</f>
        <v/>
      </c>
      <c r="H14" s="10">
        <f>F14/77429</f>
        <v/>
      </c>
      <c r="I14" s="7" t="inlineStr">
        <is>
          <t>Allah / The One True God</t>
        </is>
      </c>
      <c r="J14" s="7" t="inlineStr">
        <is>
          <t>আল্লাহ / একমাত্র সত্য উপাস্য</t>
        </is>
      </c>
      <c r="K14" s="7" t="inlineStr">
        <is>
          <t>اللہ / معبود برحق</t>
        </is>
      </c>
    </row>
    <row r="15" ht="22" customHeight="1">
      <c r="A15" s="20" t="n">
        <v>2</v>
      </c>
      <c r="B15" s="9" t="inlineStr">
        <is>
          <t>رَبّ</t>
        </is>
      </c>
      <c r="C15" s="7" t="inlineStr">
        <is>
          <t>rabb</t>
        </is>
      </c>
      <c r="D15" s="21" t="inlineStr">
        <is>
          <t>ر-ب-ب</t>
        </is>
      </c>
      <c r="E15" s="7" t="inlineStr">
        <is>
          <t>Noun</t>
        </is>
      </c>
      <c r="F15" s="22" t="n">
        <v>975</v>
      </c>
      <c r="G15" s="10">
        <f>F15/42476</f>
        <v/>
      </c>
      <c r="H15" s="10">
        <f>F15/77429</f>
        <v/>
      </c>
      <c r="I15" s="7" t="inlineStr">
        <is>
          <t>Lord / Sustainer / Master</t>
        </is>
      </c>
      <c r="J15" s="7" t="inlineStr">
        <is>
          <t>প্রতিপালক / রব / মনিব</t>
        </is>
      </c>
      <c r="K15" s="7" t="inlineStr">
        <is>
          <t>رب / پروردگار / مالک</t>
        </is>
      </c>
    </row>
    <row r="16" ht="22" customHeight="1">
      <c r="A16" s="20" t="n">
        <v>3</v>
      </c>
      <c r="B16" s="9" t="inlineStr">
        <is>
          <t>أَرْض</t>
        </is>
      </c>
      <c r="C16" s="7" t="inlineStr">
        <is>
          <t>arḍ</t>
        </is>
      </c>
      <c r="D16" s="21" t="inlineStr">
        <is>
          <t>أ-ر-ض</t>
        </is>
      </c>
      <c r="E16" s="7" t="inlineStr">
        <is>
          <t>Noun</t>
        </is>
      </c>
      <c r="F16" s="22" t="n">
        <v>461</v>
      </c>
      <c r="G16" s="10">
        <f>F16/42476</f>
        <v/>
      </c>
      <c r="H16" s="10">
        <f>F16/77429</f>
        <v/>
      </c>
      <c r="I16" s="7" t="inlineStr">
        <is>
          <t>Earth / Land / Country</t>
        </is>
      </c>
      <c r="J16" s="7" t="inlineStr">
        <is>
          <t>পৃথিবী / জমিন / ভূখণ্ড</t>
        </is>
      </c>
      <c r="K16" s="7" t="inlineStr">
        <is>
          <t>زمین / ارض / ملک</t>
        </is>
      </c>
    </row>
    <row r="17" ht="22" customHeight="1">
      <c r="A17" s="20" t="n">
        <v>4</v>
      </c>
      <c r="B17" s="9" t="inlineStr">
        <is>
          <t>قَوْم</t>
        </is>
      </c>
      <c r="C17" s="7" t="inlineStr">
        <is>
          <t>qawm</t>
        </is>
      </c>
      <c r="D17" s="21" t="inlineStr">
        <is>
          <t>ق-و-م</t>
        </is>
      </c>
      <c r="E17" s="7" t="inlineStr">
        <is>
          <t>Noun</t>
        </is>
      </c>
      <c r="F17" s="22" t="n">
        <v>383</v>
      </c>
      <c r="G17" s="10">
        <f>F17/42476</f>
        <v/>
      </c>
      <c r="H17" s="10">
        <f>F17/77429</f>
        <v/>
      </c>
      <c r="I17" s="7" t="inlineStr">
        <is>
          <t>People / Nation / Community</t>
        </is>
      </c>
      <c r="J17" s="7" t="inlineStr">
        <is>
          <t>কওম / জাতি / সম্প্রদায়</t>
        </is>
      </c>
      <c r="K17" s="7" t="inlineStr">
        <is>
          <t>قوم / گروہ / برادری</t>
        </is>
      </c>
    </row>
    <row r="18" ht="22" customHeight="1">
      <c r="A18" s="20" t="n">
        <v>5</v>
      </c>
      <c r="B18" s="9" t="inlineStr">
        <is>
          <t>آيَة</t>
        </is>
      </c>
      <c r="C18" s="7" t="inlineStr">
        <is>
          <t>āyah</t>
        </is>
      </c>
      <c r="D18" s="21" t="inlineStr">
        <is>
          <t>أ-ي-ي</t>
        </is>
      </c>
      <c r="E18" s="7" t="inlineStr">
        <is>
          <t>Noun</t>
        </is>
      </c>
      <c r="F18" s="22" t="n">
        <v>382</v>
      </c>
      <c r="G18" s="10">
        <f>F18/42476</f>
        <v/>
      </c>
      <c r="H18" s="10">
        <f>F18/77429</f>
        <v/>
      </c>
      <c r="I18" s="7" t="inlineStr">
        <is>
          <t>Sign / Verse / Miracle</t>
        </is>
      </c>
      <c r="J18" s="7" t="inlineStr">
        <is>
          <t>নিদর্শন / আয়াত / অলৌকিক চিহ্ন</t>
        </is>
      </c>
      <c r="K18" s="7" t="inlineStr">
        <is>
          <t>آیت / نشانی / معجزہ</t>
        </is>
      </c>
    </row>
    <row r="19" ht="22" customHeight="1">
      <c r="A19" s="20" t="n">
        <v>6</v>
      </c>
      <c r="B19" s="9" t="inlineStr">
        <is>
          <t>كُلّ</t>
        </is>
      </c>
      <c r="C19" s="7" t="inlineStr">
        <is>
          <t>kull</t>
        </is>
      </c>
      <c r="D19" s="21" t="inlineStr">
        <is>
          <t>ك-ل-ل</t>
        </is>
      </c>
      <c r="E19" s="7" t="inlineStr">
        <is>
          <t>Noun</t>
        </is>
      </c>
      <c r="F19" s="22" t="n">
        <v>358</v>
      </c>
      <c r="G19" s="10">
        <f>F19/42476</f>
        <v/>
      </c>
      <c r="H19" s="10">
        <f>F19/77429</f>
        <v/>
      </c>
      <c r="I19" s="7" t="inlineStr">
        <is>
          <t>All / Every / Entirety</t>
        </is>
      </c>
      <c r="J19" s="7" t="inlineStr">
        <is>
          <t>সব / প্রত্যেক / সম্পূর্ণ</t>
        </is>
      </c>
      <c r="K19" s="7" t="inlineStr">
        <is>
          <t>سب / ہر / کل</t>
        </is>
      </c>
    </row>
    <row r="20" ht="22" customHeight="1">
      <c r="A20" s="20" t="n">
        <v>7</v>
      </c>
      <c r="B20" s="9" t="inlineStr">
        <is>
          <t>رَسُول</t>
        </is>
      </c>
      <c r="C20" s="7" t="inlineStr">
        <is>
          <t>rasūl</t>
        </is>
      </c>
      <c r="D20" s="21" t="inlineStr">
        <is>
          <t>ر-س-ل</t>
        </is>
      </c>
      <c r="E20" s="7" t="inlineStr">
        <is>
          <t>Noun</t>
        </is>
      </c>
      <c r="F20" s="22" t="n">
        <v>332</v>
      </c>
      <c r="G20" s="10">
        <f>F20/42476</f>
        <v/>
      </c>
      <c r="H20" s="10">
        <f>F20/77429</f>
        <v/>
      </c>
      <c r="I20" s="7" t="inlineStr">
        <is>
          <t>Messenger / Envoy</t>
        </is>
      </c>
      <c r="J20" s="7" t="inlineStr">
        <is>
          <t>রসূল / বার্তারাহক</t>
        </is>
      </c>
      <c r="K20" s="7" t="inlineStr">
        <is>
          <t>رسول / پیغمبر</t>
        </is>
      </c>
    </row>
    <row r="21" ht="22" customHeight="1">
      <c r="A21" s="20" t="n">
        <v>8</v>
      </c>
      <c r="B21" s="9" t="inlineStr">
        <is>
          <t>يَوْم</t>
        </is>
      </c>
      <c r="C21" s="7" t="inlineStr">
        <is>
          <t>yawm</t>
        </is>
      </c>
      <c r="D21" s="21" t="inlineStr">
        <is>
          <t>ي-و-م</t>
        </is>
      </c>
      <c r="E21" s="7" t="inlineStr">
        <is>
          <t>Time Adverb</t>
        </is>
      </c>
      <c r="F21" s="22" t="n">
        <v>325</v>
      </c>
      <c r="G21" s="10">
        <f>F21/42476</f>
        <v/>
      </c>
      <c r="H21" s="10">
        <f>F21/77429</f>
        <v/>
      </c>
      <c r="I21" s="7" t="inlineStr">
        <is>
          <t>Day / Period / Epoch</t>
        </is>
      </c>
      <c r="J21" s="7" t="inlineStr">
        <is>
          <t>দিন / দিবস / সময়কাল</t>
        </is>
      </c>
      <c r="K21" s="7" t="inlineStr">
        <is>
          <t>دن / یوم / مدت</t>
        </is>
      </c>
    </row>
    <row r="22" ht="22" customHeight="1">
      <c r="A22" s="20" t="n">
        <v>9</v>
      </c>
      <c r="B22" s="9" t="inlineStr">
        <is>
          <t>عَذَاب</t>
        </is>
      </c>
      <c r="C22" s="7" t="inlineStr">
        <is>
          <t>ʿadhāb</t>
        </is>
      </c>
      <c r="D22" s="21" t="inlineStr">
        <is>
          <t>ع-ذ-ب</t>
        </is>
      </c>
      <c r="E22" s="7" t="inlineStr">
        <is>
          <t>Noun</t>
        </is>
      </c>
      <c r="F22" s="22" t="n">
        <v>322</v>
      </c>
      <c r="G22" s="10">
        <f>F22/42476</f>
        <v/>
      </c>
      <c r="H22" s="10">
        <f>F22/77429</f>
        <v/>
      </c>
      <c r="I22" s="7" t="inlineStr">
        <is>
          <t>Punishment / Penalty</t>
        </is>
      </c>
      <c r="J22" s="7" t="inlineStr">
        <is>
          <t>আজাব / শাস্তি / দণ্ড</t>
        </is>
      </c>
      <c r="K22" s="7" t="inlineStr">
        <is>
          <t>عذاب / سزا</t>
        </is>
      </c>
    </row>
    <row r="23" ht="22" customHeight="1">
      <c r="A23" s="20" t="n">
        <v>10</v>
      </c>
      <c r="B23" s="9" t="inlineStr">
        <is>
          <t>سَمَاء</t>
        </is>
      </c>
      <c r="C23" s="7" t="inlineStr">
        <is>
          <t>samāʾ</t>
        </is>
      </c>
      <c r="D23" s="21" t="inlineStr">
        <is>
          <t>س-م-و</t>
        </is>
      </c>
      <c r="E23" s="7" t="inlineStr">
        <is>
          <t>Noun</t>
        </is>
      </c>
      <c r="F23" s="22" t="n">
        <v>310</v>
      </c>
      <c r="G23" s="10">
        <f>F23/42476</f>
        <v/>
      </c>
      <c r="H23" s="10">
        <f>F23/77429</f>
        <v/>
      </c>
      <c r="I23" s="7" t="inlineStr">
        <is>
          <t>Sky / Heaven / Atmosphere</t>
        </is>
      </c>
      <c r="J23" s="7" t="inlineStr">
        <is>
          <t>আকাশ / আসমান</t>
        </is>
      </c>
      <c r="K23" s="7" t="inlineStr">
        <is>
          <t>آسمان / سما</t>
        </is>
      </c>
    </row>
    <row r="24" ht="22" customHeight="1">
      <c r="A24" s="20" t="n">
        <v>11</v>
      </c>
      <c r="B24" s="9" t="inlineStr">
        <is>
          <t>نَفْس</t>
        </is>
      </c>
      <c r="C24" s="7" t="inlineStr">
        <is>
          <t>nafs</t>
        </is>
      </c>
      <c r="D24" s="21" t="inlineStr">
        <is>
          <t>ن-ف-س</t>
        </is>
      </c>
      <c r="E24" s="7" t="inlineStr">
        <is>
          <t>Noun</t>
        </is>
      </c>
      <c r="F24" s="22" t="n">
        <v>295</v>
      </c>
      <c r="G24" s="10">
        <f>F24/42476</f>
        <v/>
      </c>
      <c r="H24" s="10">
        <f>F24/77429</f>
        <v/>
      </c>
      <c r="I24" s="7" t="inlineStr">
        <is>
          <t>Soul / Self / Person</t>
        </is>
      </c>
      <c r="J24" s="7" t="inlineStr">
        <is>
          <t>জীবন / নফস / প্রাণ / আত্মা</t>
        </is>
      </c>
      <c r="K24" s="7" t="inlineStr">
        <is>
          <t>نفس / جان / ذات</t>
        </is>
      </c>
    </row>
    <row r="25" ht="22" customHeight="1">
      <c r="A25" s="20" t="n">
        <v>12</v>
      </c>
      <c r="B25" s="9" t="inlineStr">
        <is>
          <t>شَيْء</t>
        </is>
      </c>
      <c r="C25" s="7" t="inlineStr">
        <is>
          <t>shayʾ</t>
        </is>
      </c>
      <c r="D25" s="21" t="inlineStr">
        <is>
          <t>ش-ي-أ</t>
        </is>
      </c>
      <c r="E25" s="7" t="inlineStr">
        <is>
          <t>Noun</t>
        </is>
      </c>
      <c r="F25" s="22" t="n">
        <v>283</v>
      </c>
      <c r="G25" s="10">
        <f>F25/42476</f>
        <v/>
      </c>
      <c r="H25" s="10">
        <f>F25/77429</f>
        <v/>
      </c>
      <c r="I25" s="7" t="inlineStr">
        <is>
          <t>Thing / Entity / Matter</t>
        </is>
      </c>
      <c r="J25" s="7" t="inlineStr">
        <is>
          <t>বস্তু / কোনো কিছু / সত্তা</t>
        </is>
      </c>
      <c r="K25" s="7" t="inlineStr">
        <is>
          <t>چیز / شے</t>
        </is>
      </c>
    </row>
    <row r="26" ht="22" customHeight="1">
      <c r="A26" s="20" t="n">
        <v>13</v>
      </c>
      <c r="B26" s="9" t="inlineStr">
        <is>
          <t>كِتَاب</t>
        </is>
      </c>
      <c r="C26" s="7" t="inlineStr">
        <is>
          <t>kitāb</t>
        </is>
      </c>
      <c r="D26" s="21" t="inlineStr">
        <is>
          <t>ك-ত-ব</t>
        </is>
      </c>
      <c r="E26" s="7" t="inlineStr">
        <is>
          <t>Noun</t>
        </is>
      </c>
      <c r="F26" s="22" t="n">
        <v>260</v>
      </c>
      <c r="G26" s="10">
        <f>F26/42476</f>
        <v/>
      </c>
      <c r="H26" s="10">
        <f>F26/77429</f>
        <v/>
      </c>
      <c r="I26" s="7" t="inlineStr">
        <is>
          <t>Book / Scripture / Decree</t>
        </is>
      </c>
      <c r="J26" s="7" t="inlineStr">
        <is>
          <t>কিতাব / গ্রন্থ / বিধান</t>
        </is>
      </c>
      <c r="K26" s="7" t="inlineStr">
        <is>
          <t>کتاب / نوشتہ / قانون</t>
        </is>
      </c>
    </row>
    <row r="27" ht="22" customHeight="1">
      <c r="A27" s="20" t="n">
        <v>14</v>
      </c>
      <c r="B27" s="9" t="inlineStr">
        <is>
          <t>حَقّ</t>
        </is>
      </c>
      <c r="C27" s="7" t="inlineStr">
        <is>
          <t>ḥaqq</t>
        </is>
      </c>
      <c r="D27" s="21" t="inlineStr">
        <is>
          <t>ح-ق-ق</t>
        </is>
      </c>
      <c r="E27" s="7" t="inlineStr">
        <is>
          <t>Noun</t>
        </is>
      </c>
      <c r="F27" s="22" t="n">
        <v>242</v>
      </c>
      <c r="G27" s="10">
        <f>F27/42476</f>
        <v/>
      </c>
      <c r="H27" s="10">
        <f>F27/77429</f>
        <v/>
      </c>
      <c r="I27" s="7" t="inlineStr">
        <is>
          <t>Truth / Right / Reality</t>
        </is>
      </c>
      <c r="J27" s="7" t="inlineStr">
        <is>
          <t>হক / সত্য / অধিকার / অবধারিত</t>
        </is>
      </c>
      <c r="K27" s="7" t="inlineStr">
        <is>
          <t>حق / سچ / واجب</t>
        </is>
      </c>
    </row>
    <row r="28" ht="22" customHeight="1">
      <c r="A28" s="20" t="n">
        <v>15</v>
      </c>
      <c r="B28" s="9" t="inlineStr">
        <is>
          <t>نَناس</t>
        </is>
      </c>
      <c r="C28" s="7" t="inlineStr">
        <is>
          <t>nās</t>
        </is>
      </c>
      <c r="D28" s="21" t="inlineStr">
        <is>
          <t>ن-و-س</t>
        </is>
      </c>
      <c r="E28" s="7" t="inlineStr">
        <is>
          <t>Noun</t>
        </is>
      </c>
      <c r="F28" s="22" t="n">
        <v>241</v>
      </c>
      <c r="G28" s="10">
        <f>F28/42476</f>
        <v/>
      </c>
      <c r="H28" s="10">
        <f>F28/77429</f>
        <v/>
      </c>
      <c r="I28" s="7" t="inlineStr">
        <is>
          <t>Mankind / People</t>
        </is>
      </c>
      <c r="J28" s="7" t="inlineStr">
        <is>
          <t>মানুষ / মানবজাতি</t>
        </is>
      </c>
      <c r="K28" s="7" t="inlineStr">
        <is>
          <t>لوگ / انسان / بنی نوع انسان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6" customWidth="1" min="7" max="7"/>
    <col width="16" customWidth="1" min="8" max="8"/>
    <col width="25" customWidth="1" min="9" max="9"/>
    <col width="25" customWidth="1" min="10" max="10"/>
    <col width="25" customWidth="1" min="11" max="11"/>
  </cols>
  <sheetData>
    <row r="1" ht="25" customHeight="1">
      <c r="A1" s="1" t="inlineStr">
        <is>
          <t>CLASS II: FI'L (فِعْل — VERBAL SYSTEM &amp; VERBS)</t>
        </is>
      </c>
    </row>
    <row r="2" ht="18" customHeight="1">
      <c r="A2" s="2" t="inlineStr">
        <is>
          <t>Detailed Morphological Audit and Derived Pattern Frequency Breakdown (Forms I - X)</t>
        </is>
      </c>
    </row>
    <row r="3"/>
    <row r="4">
      <c r="A4" s="3" t="inlineStr">
        <is>
          <t>1. Classical Derived Verbal Pattern Distribution (Form I - X)</t>
        </is>
      </c>
    </row>
    <row r="5" ht="24" customHeight="1">
      <c r="A5" s="8" t="inlineStr">
        <is>
          <t>Verb Form</t>
        </is>
      </c>
      <c r="B5" s="8" t="inlineStr">
        <is>
          <t>Pattern Name</t>
        </is>
      </c>
      <c r="C5" s="8" t="inlineStr">
        <is>
          <t>Example Verb</t>
        </is>
      </c>
      <c r="D5" s="8" t="inlineStr">
        <is>
          <t>Transliteration</t>
        </is>
      </c>
      <c r="E5" s="8" t="inlineStr">
        <is>
          <t>Total Unique Lemmas</t>
        </is>
      </c>
      <c r="F5" s="8" t="inlineStr">
        <is>
          <t>% of Verbs</t>
        </is>
      </c>
      <c r="G5" s="8" t="inlineStr">
        <is>
          <t>Primary Semantic Nuance</t>
        </is>
      </c>
    </row>
    <row r="6" ht="22" customHeight="1">
      <c r="A6" s="5" t="inlineStr">
        <is>
          <t>Form I</t>
        </is>
      </c>
      <c r="B6" s="9" t="inlineStr">
        <is>
          <t>فَعَلَ (faʿala)</t>
        </is>
      </c>
      <c r="C6" s="9" t="inlineStr">
        <is>
          <t>قَالَ / كَانَ</t>
        </is>
      </c>
      <c r="D6" s="7" t="inlineStr">
        <is>
          <t>qāla / kāna</t>
        </is>
      </c>
      <c r="E6" s="6" t="n">
        <v>1012</v>
      </c>
      <c r="F6" s="10">
        <f>E6/1479</f>
        <v/>
      </c>
      <c r="G6" s="7" t="inlineStr">
        <is>
          <t>Bare ground form representing the unaugmented base action.</t>
        </is>
      </c>
    </row>
    <row r="7" ht="22" customHeight="1">
      <c r="A7" s="5" t="inlineStr">
        <is>
          <t>Form II</t>
        </is>
      </c>
      <c r="B7" s="9" t="inlineStr">
        <is>
          <t>فَعَّلَ (faʿʿala)</t>
        </is>
      </c>
      <c r="C7" s="9" t="inlineStr">
        <is>
          <t>كَذَّبَ / عَلَّمَ</t>
        </is>
      </c>
      <c r="D7" s="7" t="inlineStr">
        <is>
          <t>kadhdhaba</t>
        </is>
      </c>
      <c r="E7" s="6" t="n">
        <v>182</v>
      </c>
      <c r="F7" s="10">
        <f>E7/1479</f>
        <v/>
      </c>
      <c r="G7" s="7" t="inlineStr">
        <is>
          <t>Causative, intensive, repetitive, or declarative action.</t>
        </is>
      </c>
    </row>
    <row r="8" ht="22" customHeight="1">
      <c r="A8" s="5" t="inlineStr">
        <is>
          <t>Form IV</t>
        </is>
      </c>
      <c r="B8" s="9" t="inlineStr">
        <is>
          <t>أَفْعَلَ (afʿala)</t>
        </is>
      </c>
      <c r="C8" s="9" t="inlineStr">
        <is>
          <t>آمَنَ / أَنْزَلَ</t>
        </is>
      </c>
      <c r="D8" s="7" t="inlineStr">
        <is>
          <t>āmana / anzala</t>
        </is>
      </c>
      <c r="E8" s="6" t="n">
        <v>145</v>
      </c>
      <c r="F8" s="10">
        <f>E8/1479</f>
        <v/>
      </c>
      <c r="G8" s="7" t="inlineStr">
        <is>
          <t>Causative or transitive action forcing base state to objective recipient.</t>
        </is>
      </c>
    </row>
    <row r="9" ht="22" customHeight="1">
      <c r="A9" s="5" t="inlineStr">
        <is>
          <t>Form V</t>
        </is>
      </c>
      <c r="B9" s="9" t="inlineStr">
        <is>
          <t>تَفَعَّلَ (tafaʿʿala)</t>
        </is>
      </c>
      <c r="C9" s="9" t="inlineStr">
        <is>
          <t>تَوَكَّلَ / تَنَزَّلَ</t>
        </is>
      </c>
      <c r="D9" s="7" t="inlineStr">
        <is>
          <t>tawakkala</t>
        </is>
      </c>
      <c r="E9" s="6" t="n">
        <v>42</v>
      </c>
      <c r="F9" s="10">
        <f>E9/1479</f>
        <v/>
      </c>
      <c r="G9" s="7" t="inlineStr">
        <is>
          <t>Reflexive of Form II; represents gradual action or self-direction.</t>
        </is>
      </c>
    </row>
    <row r="10" ht="22" customHeight="1">
      <c r="A10" s="5" t="inlineStr">
        <is>
          <t>Form III</t>
        </is>
      </c>
      <c r="B10" s="9" t="inlineStr">
        <is>
          <t>فَاعَلَ (fāʿala)</t>
        </is>
      </c>
      <c r="C10" s="9" t="inlineStr">
        <is>
          <t>جَاهَدَ / قَاتَلَ</t>
        </is>
      </c>
      <c r="D10" s="7" t="inlineStr">
        <is>
          <t>jāhada / qātala</t>
        </is>
      </c>
      <c r="E10" s="6" t="n">
        <v>38</v>
      </c>
      <c r="F10" s="10">
        <f>E10/1479</f>
        <v/>
      </c>
      <c r="G10" s="7" t="inlineStr">
        <is>
          <t>Reciprocal action targeting or executing in cooperation with others.</t>
        </is>
      </c>
    </row>
    <row r="11" ht="22" customHeight="1">
      <c r="A11" s="5" t="inlineStr">
        <is>
          <t>Form VIII</t>
        </is>
      </c>
      <c r="B11" s="9" t="inlineStr">
        <is>
          <t>افْتَعَلَ (iftaʿala)</t>
        </is>
      </c>
      <c r="C11" s="9" t="inlineStr">
        <is>
          <t>اتَّبَعَ / اخْتَلَفَ</t>
        </is>
      </c>
      <c r="D11" s="7" t="inlineStr">
        <is>
          <t>ittabaʿa</t>
        </is>
      </c>
      <c r="E11" s="6" t="n">
        <v>35</v>
      </c>
      <c r="F11" s="10">
        <f>E11/1479</f>
        <v/>
      </c>
      <c r="G11" s="7" t="inlineStr">
        <is>
          <t>Reflexive of Form I; represents self-action or internal acquisition.</t>
        </is>
      </c>
    </row>
    <row r="12" ht="22" customHeight="1">
      <c r="A12" s="5" t="inlineStr">
        <is>
          <t>Form X</t>
        </is>
      </c>
      <c r="B12" s="9" t="inlineStr">
        <is>
          <t>اسْتَفْعَلَ (istafʿala)</t>
        </is>
      </c>
      <c r="C12" s="9" t="inlineStr">
        <is>
          <t>اسْتَغْفَرَ</t>
        </is>
      </c>
      <c r="D12" s="7" t="inlineStr">
        <is>
          <t>istaghfara</t>
        </is>
      </c>
      <c r="E12" s="6" t="n">
        <v>20</v>
      </c>
      <c r="F12" s="10">
        <f>E12/1479</f>
        <v/>
      </c>
      <c r="G12" s="7" t="inlineStr">
        <is>
          <t>Seek, request, or plead for a state (e.g. seek forgiveness).</t>
        </is>
      </c>
    </row>
    <row r="13" ht="22" customHeight="1">
      <c r="A13" s="5" t="inlineStr">
        <is>
          <t>Other Forms</t>
        </is>
      </c>
      <c r="B13" s="9" t="inlineStr">
        <is>
          <t>Forms VI, VII, IX</t>
        </is>
      </c>
      <c r="C13" s="9" t="inlineStr">
        <is>
          <t>تَسَاءَلَ / انقَلَبَ</t>
        </is>
      </c>
      <c r="D13" s="7" t="inlineStr">
        <is>
          <t>tasā'ala</t>
        </is>
      </c>
      <c r="E13" s="6" t="n">
        <v>5</v>
      </c>
      <c r="F13" s="10">
        <f>E13/1479</f>
        <v/>
      </c>
      <c r="G13" s="7" t="inlineStr">
        <is>
          <t>Reciprocity, passive/reflexive, or color-changing states.</t>
        </is>
      </c>
    </row>
    <row r="14"/>
    <row r="15">
      <c r="A15" s="3" t="inlineStr">
        <is>
          <t>2. Top 15 Highly Productive Verb Lemmas with Complete Contexts</t>
        </is>
      </c>
    </row>
    <row r="16" ht="24" customHeight="1">
      <c r="A16" s="4" t="inlineStr">
        <is>
          <t>Rank</t>
        </is>
      </c>
      <c r="B16" s="4" t="inlineStr">
        <is>
          <t>Arabic Verb Lemma</t>
        </is>
      </c>
      <c r="C16" s="4" t="inlineStr">
        <is>
          <t>Transliteration</t>
        </is>
      </c>
      <c r="D16" s="4" t="inlineStr">
        <is>
          <t>Triliteral Root</t>
        </is>
      </c>
      <c r="E16" s="4" t="inlineStr">
        <is>
          <t>Derived Form</t>
        </is>
      </c>
      <c r="F16" s="4" t="inlineStr">
        <is>
          <t>Occurrences</t>
        </is>
      </c>
      <c r="G16" s="4" t="inlineStr">
        <is>
          <t>% of Verb Tokens</t>
        </is>
      </c>
      <c r="H16" s="4" t="inlineStr">
        <is>
          <t>% of Corpus Tokens</t>
        </is>
      </c>
      <c r="I16" s="4" t="inlineStr">
        <is>
          <t>English Core Meaning</t>
        </is>
      </c>
      <c r="J16" s="4" t="inlineStr">
        <is>
          <t>Bangla Meaning (বাংলা অর্থ)</t>
        </is>
      </c>
      <c r="K16" s="4" t="inlineStr">
        <is>
          <t>Urdu Meaning (اردو معنی)</t>
        </is>
      </c>
    </row>
    <row r="17" ht="22" customHeight="1">
      <c r="A17" s="20" t="n">
        <v>1</v>
      </c>
      <c r="B17" s="9" t="inlineStr">
        <is>
          <t>قَالَ</t>
        </is>
      </c>
      <c r="C17" s="7" t="inlineStr">
        <is>
          <t>qāla</t>
        </is>
      </c>
      <c r="D17" s="21" t="inlineStr">
        <is>
          <t>ق-و-ل</t>
        </is>
      </c>
      <c r="E17" s="7" t="inlineStr">
        <is>
          <t>Form I</t>
        </is>
      </c>
      <c r="F17" s="22" t="n">
        <v>1618</v>
      </c>
      <c r="G17" s="10">
        <f>F17/13491</f>
        <v/>
      </c>
      <c r="H17" s="10">
        <f>F17/77429</f>
        <v/>
      </c>
      <c r="I17" s="7" t="inlineStr">
        <is>
          <t>to say / speak / utter</t>
        </is>
      </c>
      <c r="J17" s="7" t="inlineStr">
        <is>
          <t>বলা / উচ্চারণ করা</t>
        </is>
      </c>
      <c r="K17" s="7" t="inlineStr">
        <is>
          <t>کہنا / فرمانا</t>
        </is>
      </c>
    </row>
    <row r="18" ht="22" customHeight="1">
      <c r="A18" s="20" t="n">
        <v>2</v>
      </c>
      <c r="B18" s="9" t="inlineStr">
        <is>
          <t>كَانَ</t>
        </is>
      </c>
      <c r="C18" s="7" t="inlineStr">
        <is>
          <t>kāna</t>
        </is>
      </c>
      <c r="D18" s="21" t="inlineStr">
        <is>
          <t>ك-و-ن</t>
        </is>
      </c>
      <c r="E18" s="7" t="inlineStr">
        <is>
          <t>Form I</t>
        </is>
      </c>
      <c r="F18" s="22" t="n">
        <v>1358</v>
      </c>
      <c r="G18" s="10">
        <f>F18/13491</f>
        <v/>
      </c>
      <c r="H18" s="10">
        <f>F18/77429</f>
        <v/>
      </c>
      <c r="I18" s="7" t="inlineStr">
        <is>
          <t>to be / exist</t>
        </is>
      </c>
      <c r="J18" s="7" t="inlineStr">
        <is>
          <t>হওয়া / থাকা / বিদ্যমান থাকা</t>
        </is>
      </c>
      <c r="K18" s="7" t="inlineStr">
        <is>
          <t>ہونا / وجود رکھنا</t>
        </is>
      </c>
    </row>
    <row r="19" ht="22" customHeight="1">
      <c r="A19" s="20" t="n">
        <v>3</v>
      </c>
      <c r="B19" s="9" t="inlineStr">
        <is>
          <t>آمَنَ</t>
        </is>
      </c>
      <c r="C19" s="7" t="inlineStr">
        <is>
          <t>āmana</t>
        </is>
      </c>
      <c r="D19" s="21" t="inlineStr">
        <is>
          <t>أ-م-ن</t>
        </is>
      </c>
      <c r="E19" s="7" t="inlineStr">
        <is>
          <t>Form IV</t>
        </is>
      </c>
      <c r="F19" s="22" t="n">
        <v>537</v>
      </c>
      <c r="G19" s="10">
        <f>F19/13491</f>
        <v/>
      </c>
      <c r="H19" s="10">
        <f>F19/77429</f>
        <v/>
      </c>
      <c r="I19" s="7" t="inlineStr">
        <is>
          <t>to believe / have faith</t>
        </is>
      </c>
      <c r="J19" s="7" t="inlineStr">
        <is>
          <t>ঈমান আনা / বিশ্বাস করা</t>
        </is>
      </c>
      <c r="K19" s="7" t="inlineStr">
        <is>
          <t>ایمان لانا / یقین رکھنا</t>
        </is>
      </c>
    </row>
    <row r="20" ht="22" customHeight="1">
      <c r="A20" s="20" t="n">
        <v>4</v>
      </c>
      <c r="B20" s="9" t="inlineStr">
        <is>
          <t>عَلِمَ</t>
        </is>
      </c>
      <c r="C20" s="7" t="inlineStr">
        <is>
          <t>ʿalima</t>
        </is>
      </c>
      <c r="D20" s="21" t="inlineStr">
        <is>
          <t>ع-ل-م</t>
        </is>
      </c>
      <c r="E20" s="7" t="inlineStr">
        <is>
          <t>Form I</t>
        </is>
      </c>
      <c r="F20" s="22" t="n">
        <v>382</v>
      </c>
      <c r="G20" s="10">
        <f>F20/13491</f>
        <v/>
      </c>
      <c r="H20" s="10">
        <f>F20/77429</f>
        <v/>
      </c>
      <c r="I20" s="7" t="inlineStr">
        <is>
          <t>to know / perceive</t>
        </is>
      </c>
      <c r="J20" s="7" t="inlineStr">
        <is>
          <t>জানা / অবগত হওয়া</t>
        </is>
      </c>
      <c r="K20" s="7" t="inlineStr">
        <is>
          <t>جاننا / علم رکھنا</t>
        </is>
      </c>
    </row>
    <row r="21" ht="22" customHeight="1">
      <c r="A21" s="20" t="n">
        <v>5</v>
      </c>
      <c r="B21" s="9" t="inlineStr">
        <is>
          <t>جَعَلَ</t>
        </is>
      </c>
      <c r="C21" s="7" t="inlineStr">
        <is>
          <t>jaʿala</t>
        </is>
      </c>
      <c r="D21" s="21" t="inlineStr">
        <is>
          <t>ج-ع-ল</t>
        </is>
      </c>
      <c r="E21" s="7" t="inlineStr">
        <is>
          <t>Form I</t>
        </is>
      </c>
      <c r="F21" s="22" t="n">
        <v>340</v>
      </c>
      <c r="G21" s="10">
        <f>F21/13491</f>
        <v/>
      </c>
      <c r="H21" s="10">
        <f>F21/77429</f>
        <v/>
      </c>
      <c r="I21" s="7" t="inlineStr">
        <is>
          <t>to make / appoint / create</t>
        </is>
      </c>
      <c r="J21" s="7" t="inlineStr">
        <is>
          <t>বানানো / নির্ধারণ করা / সৃষ্টি করা</t>
        </is>
      </c>
      <c r="K21" s="7" t="inlineStr">
        <is>
          <t>بنانا / مقرر کرنا</t>
        </is>
      </c>
    </row>
    <row r="22" ht="22" customHeight="1">
      <c r="A22" s="20" t="n">
        <v>6</v>
      </c>
      <c r="B22" s="9" t="inlineStr">
        <is>
          <t>كَفَرَ</t>
        </is>
      </c>
      <c r="C22" s="7" t="inlineStr">
        <is>
          <t>kafara</t>
        </is>
      </c>
      <c r="D22" s="21" t="inlineStr">
        <is>
          <t>ك-ف-ر</t>
        </is>
      </c>
      <c r="E22" s="7" t="inlineStr">
        <is>
          <t>Form I</t>
        </is>
      </c>
      <c r="F22" s="22" t="n">
        <v>289</v>
      </c>
      <c r="G22" s="10">
        <f>F22/13491</f>
        <v/>
      </c>
      <c r="H22" s="10">
        <f>F22/77429</f>
        <v/>
      </c>
      <c r="I22" s="7" t="inlineStr">
        <is>
          <t>to disbelieve / deny</t>
        </is>
      </c>
      <c r="J22" s="7" t="inlineStr">
        <is>
          <t>কুফরি করা / অবিশ্বাস করা</t>
        </is>
      </c>
      <c r="K22" s="7" t="inlineStr">
        <is>
          <t>انکار کرنا / کفر کرنا</t>
        </is>
      </c>
    </row>
    <row r="23" ht="22" customHeight="1">
      <c r="A23" s="20" t="n">
        <v>7</v>
      </c>
      <c r="B23" s="9" t="inlineStr">
        <is>
          <t>جَاءَ</t>
        </is>
      </c>
      <c r="C23" s="7" t="inlineStr">
        <is>
          <t>jāʾa</t>
        </is>
      </c>
      <c r="D23" s="21" t="inlineStr">
        <is>
          <t>ج-ي-أ</t>
        </is>
      </c>
      <c r="E23" s="7" t="inlineStr">
        <is>
          <t>Form I</t>
        </is>
      </c>
      <c r="F23" s="22" t="n">
        <v>278</v>
      </c>
      <c r="G23" s="10">
        <f>F23/13491</f>
        <v/>
      </c>
      <c r="H23" s="10">
        <f>F23/77429</f>
        <v/>
      </c>
      <c r="I23" s="7" t="inlineStr">
        <is>
          <t>to come / bring</t>
        </is>
      </c>
      <c r="J23" s="7" t="inlineStr">
        <is>
          <t>আসা / আগমন করা</t>
        </is>
      </c>
      <c r="K23" s="7" t="inlineStr">
        <is>
          <t>آنا / تشریف لانا</t>
        </is>
      </c>
    </row>
    <row r="24" ht="22" customHeight="1">
      <c r="A24" s="20" t="n">
        <v>8</v>
      </c>
      <c r="B24" s="9" t="inlineStr">
        <is>
          <t>عَمِلَ</t>
        </is>
      </c>
      <c r="C24" s="7" t="inlineStr">
        <is>
          <t>ʿamila</t>
        </is>
      </c>
      <c r="D24" s="21" t="inlineStr">
        <is>
          <t>ع-م-ل</t>
        </is>
      </c>
      <c r="E24" s="7" t="inlineStr">
        <is>
          <t>Form I</t>
        </is>
      </c>
      <c r="F24" s="22" t="n">
        <v>276</v>
      </c>
      <c r="G24" s="10">
        <f>F24/13491</f>
        <v/>
      </c>
      <c r="H24" s="10">
        <f>F24/77429</f>
        <v/>
      </c>
      <c r="I24" s="7" t="inlineStr">
        <is>
          <t>to do / work / execute</t>
        </is>
      </c>
      <c r="J24" s="7" t="inlineStr">
        <is>
          <t>কাজ করা / আমল করা</t>
        </is>
      </c>
      <c r="K24" s="7" t="inlineStr">
        <is>
          <t>عمل کرنا / کام کرنا</t>
        </is>
      </c>
    </row>
    <row r="25" ht="22" customHeight="1">
      <c r="A25" s="20" t="n">
        <v>9</v>
      </c>
      <c r="B25" s="9" t="inlineStr">
        <is>
          <t>آتَى</t>
        </is>
      </c>
      <c r="C25" s="7" t="inlineStr">
        <is>
          <t>ātā</t>
        </is>
      </c>
      <c r="D25" s="21" t="inlineStr">
        <is>
          <t>أ-ت-ي</t>
        </is>
      </c>
      <c r="E25" s="7" t="inlineStr">
        <is>
          <t>Form IV</t>
        </is>
      </c>
      <c r="F25" s="22" t="n">
        <v>271</v>
      </c>
      <c r="G25" s="10">
        <f>F25/13491</f>
        <v/>
      </c>
      <c r="H25" s="10">
        <f>F25/77429</f>
        <v/>
      </c>
      <c r="I25" s="7" t="inlineStr">
        <is>
          <t>to give / provide</t>
        </is>
      </c>
      <c r="J25" s="7" t="inlineStr">
        <is>
          <t>দান করা / প্রদান করা</t>
        </is>
      </c>
      <c r="K25" s="7" t="inlineStr">
        <is>
          <t>دینا / عطا کرنا</t>
        </is>
      </c>
    </row>
    <row r="26" ht="22" customHeight="1">
      <c r="A26" s="20" t="n">
        <v>10</v>
      </c>
      <c r="B26" s="9" t="inlineStr">
        <is>
          <t>رَأَى</t>
        </is>
      </c>
      <c r="C26" s="7" t="inlineStr">
        <is>
          <t>raʾā</t>
        </is>
      </c>
      <c r="D26" s="21" t="inlineStr">
        <is>
          <t>ر-أ-ي</t>
        </is>
      </c>
      <c r="E26" s="7" t="inlineStr">
        <is>
          <t>Form I</t>
        </is>
      </c>
      <c r="F26" s="22" t="n">
        <v>271</v>
      </c>
      <c r="G26" s="10">
        <f>F26/13491</f>
        <v/>
      </c>
      <c r="H26" s="10">
        <f>F26/77429</f>
        <v/>
      </c>
      <c r="I26" s="7" t="inlineStr">
        <is>
          <t>to see / behold</t>
        </is>
      </c>
      <c r="J26" s="7" t="inlineStr">
        <is>
          <t>দেখা / দৃষ্টিগোচর করা</t>
        </is>
      </c>
      <c r="K26" s="7" t="inlineStr">
        <is>
          <t>دیکھنا / مشاہدہ کرنا</t>
        </is>
      </c>
    </row>
    <row r="27" ht="22" customHeight="1">
      <c r="A27" s="20" t="n">
        <v>11</v>
      </c>
      <c r="B27" s="9" t="inlineStr">
        <is>
          <t>أَتَى</t>
        </is>
      </c>
      <c r="C27" s="7" t="inlineStr">
        <is>
          <t>atā</t>
        </is>
      </c>
      <c r="D27" s="21" t="inlineStr">
        <is>
          <t>أ-ت-ي</t>
        </is>
      </c>
      <c r="E27" s="7" t="inlineStr">
        <is>
          <t>Form I</t>
        </is>
      </c>
      <c r="F27" s="22" t="n">
        <v>264</v>
      </c>
      <c r="G27" s="10">
        <f>F27/13491</f>
        <v/>
      </c>
      <c r="H27" s="10">
        <f>F27/77429</f>
        <v/>
      </c>
      <c r="I27" s="7" t="inlineStr">
        <is>
          <t>to come / reach</t>
        </is>
      </c>
      <c r="J27" s="7" t="inlineStr">
        <is>
          <t>আসা / পৌঁছানো</t>
        </is>
      </c>
      <c r="K27" s="7" t="inlineStr">
        <is>
          <t>آنا / پہنچنا</t>
        </is>
      </c>
    </row>
    <row r="28" ht="22" customHeight="1">
      <c r="A28" s="20" t="n">
        <v>12</v>
      </c>
      <c r="B28" s="9" t="inlineStr">
        <is>
          <t>شَاءَ</t>
        </is>
      </c>
      <c r="C28" s="7" t="inlineStr">
        <is>
          <t>shāʾa</t>
        </is>
      </c>
      <c r="D28" s="21" t="inlineStr">
        <is>
          <t>ش-ي-أ</t>
        </is>
      </c>
      <c r="E28" s="7" t="inlineStr">
        <is>
          <t>Form I</t>
        </is>
      </c>
      <c r="F28" s="22" t="n">
        <v>236</v>
      </c>
      <c r="G28" s="10">
        <f>F28/13491</f>
        <v/>
      </c>
      <c r="H28" s="10">
        <f>F28/77429</f>
        <v/>
      </c>
      <c r="I28" s="7" t="inlineStr">
        <is>
          <t>to will / wish</t>
        </is>
      </c>
      <c r="J28" s="7" t="inlineStr">
        <is>
          <t>ইচ্ছা করা</t>
        </is>
      </c>
      <c r="K28" s="7" t="inlineStr">
        <is>
          <t>چاہنا / ارادہ کرنا</t>
        </is>
      </c>
    </row>
    <row r="29" ht="22" customHeight="1">
      <c r="A29" s="20" t="n">
        <v>13</v>
      </c>
      <c r="B29" s="9" t="inlineStr">
        <is>
          <t>خَلَقَ</t>
        </is>
      </c>
      <c r="C29" s="7" t="inlineStr">
        <is>
          <t>khalaqa</t>
        </is>
      </c>
      <c r="D29" s="21" t="inlineStr">
        <is>
          <t>خ-ل-ق</t>
        </is>
      </c>
      <c r="E29" s="7" t="inlineStr">
        <is>
          <t>Form I</t>
        </is>
      </c>
      <c r="F29" s="22" t="n">
        <v>184</v>
      </c>
      <c r="G29" s="10">
        <f>F29/13491</f>
        <v/>
      </c>
      <c r="H29" s="10">
        <f>F29/77429</f>
        <v/>
      </c>
      <c r="I29" s="7" t="inlineStr">
        <is>
          <t>to create / originate</t>
        </is>
      </c>
      <c r="J29" s="7" t="inlineStr">
        <is>
          <t>সৃষ্টি করা / অস্তিত্বে আনা</t>
        </is>
      </c>
      <c r="K29" s="7" t="inlineStr">
        <is>
          <t>پیدا کرنا / خلق کرنا</t>
        </is>
      </c>
    </row>
    <row r="30" ht="22" customHeight="1">
      <c r="A30" s="20" t="n">
        <v>14</v>
      </c>
      <c r="B30" s="9" t="inlineStr">
        <is>
          <t>أَنْزَلَ</t>
        </is>
      </c>
      <c r="C30" s="7" t="inlineStr">
        <is>
          <t>anzala</t>
        </is>
      </c>
      <c r="D30" s="21" t="inlineStr">
        <is>
          <t>ن-ز-ল</t>
        </is>
      </c>
      <c r="E30" s="7" t="inlineStr">
        <is>
          <t>Form IV</t>
        </is>
      </c>
      <c r="F30" s="22" t="n">
        <v>183</v>
      </c>
      <c r="G30" s="10">
        <f>F30/13491</f>
        <v/>
      </c>
      <c r="H30" s="10">
        <f>F30/77429</f>
        <v/>
      </c>
      <c r="I30" s="7" t="inlineStr">
        <is>
          <t>to reveal / send down</t>
        </is>
      </c>
      <c r="J30" s="7" t="inlineStr">
        <is>
          <t>নাজিল করা / অবতীর্ণ করা</t>
        </is>
      </c>
      <c r="K30" s="7" t="inlineStr">
        <is>
          <t>نازل کرنا / اتارنا</t>
        </is>
      </c>
    </row>
    <row r="31" ht="22" customHeight="1">
      <c r="A31" s="20" t="n">
        <v>15</v>
      </c>
      <c r="B31" s="9" t="inlineStr">
        <is>
          <t>كَذَّبَ</t>
        </is>
      </c>
      <c r="C31" s="7" t="inlineStr">
        <is>
          <t>kadhdhaba</t>
        </is>
      </c>
      <c r="D31" s="21" t="inlineStr">
        <is>
          <t>ك-ذ-ب</t>
        </is>
      </c>
      <c r="E31" s="7" t="inlineStr">
        <is>
          <t>Form II</t>
        </is>
      </c>
      <c r="F31" s="22" t="n">
        <v>176</v>
      </c>
      <c r="G31" s="10">
        <f>F31/13491</f>
        <v/>
      </c>
      <c r="H31" s="10">
        <f>F31/77429</f>
        <v/>
      </c>
      <c r="I31" s="7" t="inlineStr">
        <is>
          <t>to deny / reject as lie</t>
        </is>
      </c>
      <c r="J31" s="7" t="inlineStr">
        <is>
          <t>মিথ্যা প্রতিপন্ন করা / অস্বীকার করা</t>
        </is>
      </c>
      <c r="K31" s="7" t="inlineStr">
        <is>
          <t>جھٹلانا / تکذیب کرنا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 ht="25" customHeight="1">
      <c r="A1" s="1" t="inlineStr">
        <is>
          <t>CLASS III: ḤARF (حَرْف — PARTICLES &amp; FUNCTION WORDS)</t>
        </is>
      </c>
    </row>
    <row r="2" ht="18" customHeight="1">
      <c r="A2" s="2" t="inlineStr">
        <is>
          <t>Detailed Structural Analysis and Subcategory Frequencies for Rootless Connective Particles</t>
        </is>
      </c>
    </row>
    <row r="3"/>
    <row r="4">
      <c r="A4" s="3" t="inlineStr">
        <is>
          <t>1. Functional Particle Subclass Distribution</t>
        </is>
      </c>
    </row>
    <row r="5" ht="24" customHeight="1">
      <c r="A5" s="8" t="inlineStr">
        <is>
          <t>Syntactic Class</t>
        </is>
      </c>
      <c r="B5" s="8" t="inlineStr">
        <is>
          <t>Arabic equivalent</t>
        </is>
      </c>
      <c r="C5" s="8" t="inlineStr">
        <is>
          <t>Top Example</t>
        </is>
      </c>
      <c r="D5" s="8" t="inlineStr">
        <is>
          <t>Exact Occurrences</t>
        </is>
      </c>
      <c r="E5" s="8" t="inlineStr">
        <is>
          <t>% of Harf Tier</t>
        </is>
      </c>
      <c r="F5" s="8" t="inlineStr">
        <is>
          <t>Linguistic / Grammatical Function</t>
        </is>
      </c>
    </row>
    <row r="6" ht="22" customHeight="1">
      <c r="A6" s="5" t="inlineStr">
        <is>
          <t>Prepositions (حروف الجر)</t>
        </is>
      </c>
      <c r="B6" s="9" t="inlineStr">
        <is>
          <t>حروف الجر</t>
        </is>
      </c>
      <c r="C6" s="9" t="inlineStr">
        <is>
          <t>مِنْ / فِي / عَلَى</t>
        </is>
      </c>
      <c r="D6" s="6" t="n">
        <v>11214</v>
      </c>
      <c r="E6" s="10">
        <f>D6/21462</f>
        <v/>
      </c>
      <c r="F6" s="7" t="inlineStr">
        <is>
          <t>Attaches to Ism forcing it into genitive case (kasrah/i'rab). Holds 52.2% of particle tier.</t>
        </is>
      </c>
    </row>
    <row r="7" ht="22" customHeight="1">
      <c r="A7" s="5" t="inlineStr">
        <is>
          <t>Conjunctions (حروف العطف)</t>
        </is>
      </c>
      <c r="B7" s="9" t="inlineStr">
        <is>
          <t>حروف العطف</t>
        </is>
      </c>
      <c r="C7" s="9" t="inlineStr">
        <is>
          <t>وَ / فَـ / ثُمَّ</t>
        </is>
      </c>
      <c r="D7" s="6" t="n">
        <v>12618</v>
      </c>
      <c r="E7" s="10">
        <f>D7/21462</f>
        <v/>
      </c>
      <c r="F7" s="7" t="inlineStr">
        <is>
          <t>Connects words, clauses, or entire sentences to dictate chronological flow and link meanings.</t>
        </is>
      </c>
    </row>
    <row r="8" ht="22" customHeight="1">
      <c r="A8" s="5" t="inlineStr">
        <is>
          <t>Emphasis/Accusative (حروف النصب)</t>
        </is>
      </c>
      <c r="B8" s="9" t="inlineStr">
        <is>
          <t>الحروف المشبهة بالفعل</t>
        </is>
      </c>
      <c r="C8" s="9" t="inlineStr">
        <is>
          <t>إِنَّ / أَنَّ / لَعَلَّ</t>
        </is>
      </c>
      <c r="D8" s="6" t="n">
        <v>2218</v>
      </c>
      <c r="E8" s="10">
        <f>D8/21462</f>
        <v/>
      </c>
      <c r="F8" s="7" t="inlineStr">
        <is>
          <t>Emphasizes the nominal clause and forces subject into accusative case (fathah).</t>
        </is>
      </c>
    </row>
    <row r="9" ht="22" customHeight="1">
      <c r="A9" s="5" t="inlineStr">
        <is>
          <t>Negation / Prohibition</t>
        </is>
      </c>
      <c r="B9" s="9" t="inlineStr">
        <is>
          <t>حروف النفي والنهي</t>
        </is>
      </c>
      <c r="C9" s="9" t="inlineStr">
        <is>
          <t>لَا / لَمْ / لَنْ</t>
        </is>
      </c>
      <c r="D9" s="6" t="n">
        <v>2531</v>
      </c>
      <c r="E9" s="10">
        <f>D9/21462</f>
        <v/>
      </c>
      <c r="F9" s="7" t="inlineStr">
        <is>
          <t>Negates verbal actions or states of being; prohibits actions in the imperative mode.</t>
        </is>
      </c>
    </row>
    <row r="10" ht="22" customHeight="1">
      <c r="A10" s="5" t="inlineStr">
        <is>
          <t>Conditional &amp; Exceptive</t>
        </is>
      </c>
      <c r="B10" s="9" t="inlineStr">
        <is>
          <t>حروف الشرط والاستثناء</t>
        </is>
      </c>
      <c r="C10" s="9" t="inlineStr">
        <is>
          <t>إِذَا / إِنْ / إِلَّا</t>
        </is>
      </c>
      <c r="D10" s="6" t="n">
        <v>1725</v>
      </c>
      <c r="E10" s="10">
        <f>D10/21462</f>
        <v/>
      </c>
      <c r="F10" s="7" t="inlineStr">
        <is>
          <t>Introduces conditional logic blocks ('if... then') or restricts clauses ('except...').</t>
        </is>
      </c>
    </row>
    <row r="11"/>
    <row r="12"/>
    <row r="13">
      <c r="A13" s="3" t="inlineStr">
        <is>
          <t>2. Top 15 Highly Productive Particles with Verified Syntactic Functions</t>
        </is>
      </c>
    </row>
    <row r="14" ht="24" customHeight="1">
      <c r="A14" s="4" t="inlineStr">
        <is>
          <t>Rank</t>
        </is>
      </c>
      <c r="B14" s="4" t="inlineStr">
        <is>
          <t>Arabic Particle Lemma</t>
        </is>
      </c>
      <c r="C14" s="4" t="inlineStr">
        <is>
          <t>Transliteration</t>
        </is>
      </c>
      <c r="D14" s="4" t="inlineStr">
        <is>
          <t>Syntactic Class</t>
        </is>
      </c>
      <c r="E14" s="4" t="inlineStr">
        <is>
          <t>Occurrences</t>
        </is>
      </c>
      <c r="F14" s="4" t="inlineStr">
        <is>
          <t>% of Harf Tokens</t>
        </is>
      </c>
      <c r="G14" s="4" t="inlineStr">
        <is>
          <t>% of Total Corpus</t>
        </is>
      </c>
      <c r="H14" s="4" t="inlineStr">
        <is>
          <t>English Meaning &amp; Function</t>
        </is>
      </c>
      <c r="I14" s="4" t="inlineStr">
        <is>
          <t>Bangla (বাংলা অর্থ)</t>
        </is>
      </c>
      <c r="J14" s="4" t="inlineStr">
        <is>
          <t>Urdu (اردو)</t>
        </is>
      </c>
      <c r="K14" s="4" t="inlineStr">
        <is>
          <t>Indonesian (Bahasa)</t>
        </is>
      </c>
    </row>
    <row r="15" ht="22" customHeight="1">
      <c r="A15" s="20" t="n">
        <v>1</v>
      </c>
      <c r="B15" s="9" t="inlineStr">
        <is>
          <t>مِنْ</t>
        </is>
      </c>
      <c r="C15" s="21" t="inlineStr">
        <is>
          <t>min</t>
        </is>
      </c>
      <c r="D15" s="7" t="inlineStr">
        <is>
          <t>Preposition (Ḥarf Jar)</t>
        </is>
      </c>
      <c r="E15" s="22" t="n">
        <v>3226</v>
      </c>
      <c r="F15" s="10">
        <f>E15/21462</f>
        <v/>
      </c>
      <c r="G15" s="10">
        <f>E15/77429</f>
        <v/>
      </c>
      <c r="H15" s="7" t="inlineStr">
        <is>
          <t>from / out of / partitive</t>
        </is>
      </c>
      <c r="I15" s="7" t="inlineStr">
        <is>
          <t>থেকে / হতে / চেয়ে</t>
        </is>
      </c>
      <c r="J15" s="7" t="inlineStr">
        <is>
          <t>سے / از</t>
        </is>
      </c>
      <c r="K15" s="7" t="inlineStr">
        <is>
          <t>dari / daripada</t>
        </is>
      </c>
    </row>
    <row r="16" ht="22" customHeight="1">
      <c r="A16" s="20" t="n">
        <v>2</v>
      </c>
      <c r="B16" s="9" t="inlineStr">
        <is>
          <t>فِي</t>
        </is>
      </c>
      <c r="C16" s="21" t="inlineStr">
        <is>
          <t>fī</t>
        </is>
      </c>
      <c r="D16" s="7" t="inlineStr">
        <is>
          <t>Preposition (Ḥarf Jar)</t>
        </is>
      </c>
      <c r="E16" s="22" t="n">
        <v>1701</v>
      </c>
      <c r="F16" s="10">
        <f>E16/21462</f>
        <v/>
      </c>
      <c r="G16" s="10">
        <f>E16/77429</f>
        <v/>
      </c>
      <c r="H16" s="7" t="inlineStr">
        <is>
          <t>in / within / spatial containment</t>
        </is>
      </c>
      <c r="I16" s="7" t="inlineStr">
        <is>
          <t>মধ্যে / ভেতরে / বিষয়ে</t>
        </is>
      </c>
      <c r="J16" s="7" t="inlineStr">
        <is>
          <t>میں / اندر</t>
        </is>
      </c>
      <c r="K16" s="7" t="inlineStr">
        <is>
          <t>di / di dalam</t>
        </is>
      </c>
    </row>
    <row r="17" ht="22" customHeight="1">
      <c r="A17" s="20" t="n">
        <v>3</v>
      </c>
      <c r="B17" s="9" t="inlineStr">
        <is>
          <t>إِنَّ</t>
        </is>
      </c>
      <c r="C17" s="21" t="inlineStr">
        <is>
          <t>inna</t>
        </is>
      </c>
      <c r="D17" s="7" t="inlineStr">
        <is>
          <t>Accusative Particle (Ḥarf Naṣb)</t>
        </is>
      </c>
      <c r="E17" s="22" t="n">
        <v>1682</v>
      </c>
      <c r="F17" s="10">
        <f>E17/21462</f>
        <v/>
      </c>
      <c r="G17" s="10">
        <f>E17/77429</f>
        <v/>
      </c>
      <c r="H17" s="7" t="inlineStr">
        <is>
          <t>indeed / surely / emphasis</t>
        </is>
      </c>
      <c r="I17" s="7" t="inlineStr">
        <is>
          <t>নিশ্চয়ই / অবশ্যই / সত্যই</t>
        </is>
      </c>
      <c r="J17" s="7" t="inlineStr">
        <is>
          <t>بیشک / یقیناً</t>
        </is>
      </c>
      <c r="K17" s="7" t="inlineStr">
        <is>
          <t>sesungguhnya / bahwasanya</t>
        </is>
      </c>
    </row>
    <row r="18" ht="22" customHeight="1">
      <c r="A18" s="20" t="n">
        <v>4</v>
      </c>
      <c r="B18" s="9" t="inlineStr">
        <is>
          <t>عَلَى</t>
        </is>
      </c>
      <c r="C18" s="21" t="inlineStr">
        <is>
          <t>ʿalā</t>
        </is>
      </c>
      <c r="D18" s="7" t="inlineStr">
        <is>
          <t>Preposition (Ḥarf Jar)</t>
        </is>
      </c>
      <c r="E18" s="22" t="n">
        <v>1445</v>
      </c>
      <c r="F18" s="10">
        <f>E18/21462</f>
        <v/>
      </c>
      <c r="G18" s="10">
        <f>E18/77429</f>
        <v/>
      </c>
      <c r="H18" s="7" t="inlineStr">
        <is>
          <t>upon / on / over / against</t>
        </is>
      </c>
      <c r="I18" s="7" t="inlineStr">
        <is>
          <t>ওপরে / ওপর / প্রতি</t>
        </is>
      </c>
      <c r="J18" s="7" t="inlineStr">
        <is>
          <t>پر / اوپر</t>
        </is>
      </c>
      <c r="K18" s="7" t="inlineStr">
        <is>
          <t>di atas / atas</t>
        </is>
      </c>
    </row>
    <row r="19" ht="22" customHeight="1">
      <c r="A19" s="20" t="n">
        <v>5</v>
      </c>
      <c r="B19" s="9" t="inlineStr">
        <is>
          <t>الَّذِي</t>
        </is>
      </c>
      <c r="C19" s="21" t="inlineStr">
        <is>
          <t>alladhī</t>
        </is>
      </c>
      <c r="D19" s="7" t="inlineStr">
        <is>
          <t>Relative Pronoun (Ism Mawṣūl)</t>
        </is>
      </c>
      <c r="E19" s="22" t="n">
        <v>1442</v>
      </c>
      <c r="F19" s="10">
        <f>E19/21462</f>
        <v/>
      </c>
      <c r="G19" s="10">
        <f>E19/77429</f>
        <v/>
      </c>
      <c r="H19" s="7" t="inlineStr">
        <is>
          <t>who / which / that (singular)</t>
        </is>
      </c>
      <c r="I19" s="7" t="inlineStr">
        <is>
          <t>যে / যিনি / যাহা</t>
        </is>
      </c>
      <c r="J19" s="7" t="inlineStr">
        <is>
          <t>جو / جس نے</t>
        </is>
      </c>
      <c r="K19" s="7" t="inlineStr">
        <is>
          <t>yang (tunggal)</t>
        </is>
      </c>
    </row>
    <row r="20" ht="22" customHeight="1">
      <c r="A20" s="20" t="n">
        <v>6</v>
      </c>
      <c r="B20" s="9" t="inlineStr">
        <is>
          <t>لَا</t>
        </is>
      </c>
      <c r="C20" s="21" t="inlineStr">
        <is>
          <t>lā</t>
        </is>
      </c>
      <c r="D20" s="7" t="inlineStr">
        <is>
          <t>Negation Particle (Ḥarf Nafy)</t>
        </is>
      </c>
      <c r="E20" s="22" t="n">
        <v>1364</v>
      </c>
      <c r="F20" s="10">
        <f>E20/21462</f>
        <v/>
      </c>
      <c r="G20" s="10">
        <f>E20/77429</f>
        <v/>
      </c>
      <c r="H20" s="7" t="inlineStr">
        <is>
          <t>no / not / do not</t>
        </is>
      </c>
      <c r="I20" s="7" t="inlineStr">
        <is>
          <t>না / নেই / নহে</t>
        </is>
      </c>
      <c r="J20" s="7" t="inlineStr">
        <is>
          <t>نہ / نہیں / مت</t>
        </is>
      </c>
      <c r="K20" s="7" t="inlineStr">
        <is>
          <t>tidak / jangan</t>
        </is>
      </c>
    </row>
    <row r="21" ht="22" customHeight="1">
      <c r="A21" s="20" t="n">
        <v>7</v>
      </c>
      <c r="B21" s="9" t="inlineStr">
        <is>
          <t>مَا</t>
        </is>
      </c>
      <c r="C21" s="21" t="inlineStr">
        <is>
          <t>mā</t>
        </is>
      </c>
      <c r="D21" s="7" t="inlineStr">
        <is>
          <t>Relative / Negation Particle</t>
        </is>
      </c>
      <c r="E21" s="22" t="n">
        <v>1266</v>
      </c>
      <c r="F21" s="10">
        <f>E21/21462</f>
        <v/>
      </c>
      <c r="G21" s="10">
        <f>E21/77429</f>
        <v/>
      </c>
      <c r="H21" s="7" t="inlineStr">
        <is>
          <t>what / that which / not</t>
        </is>
      </c>
      <c r="I21" s="7" t="inlineStr">
        <is>
          <t>যা / যাহা কিছু / না</t>
        </is>
      </c>
      <c r="J21" s="7" t="inlineStr">
        <is>
          <t>جو کچھ / کیا / نہیں</t>
        </is>
      </c>
      <c r="K21" s="7" t="inlineStr">
        <is>
          <t>apa yang / tidak</t>
        </is>
      </c>
    </row>
    <row r="22" ht="22" customHeight="1">
      <c r="A22" s="20" t="n">
        <v>8</v>
      </c>
      <c r="B22" s="9" t="inlineStr">
        <is>
          <t>إِلَى</t>
        </is>
      </c>
      <c r="C22" s="21" t="inlineStr">
        <is>
          <t>ilā</t>
        </is>
      </c>
      <c r="D22" s="7" t="inlineStr">
        <is>
          <t>Preposition (Ḥarf Jar)</t>
        </is>
      </c>
      <c r="E22" s="22" t="n">
        <v>742</v>
      </c>
      <c r="F22" s="10">
        <f>E22/21462</f>
        <v/>
      </c>
      <c r="G22" s="10">
        <f>E22/77429</f>
        <v/>
      </c>
      <c r="H22" s="7" t="inlineStr">
        <is>
          <t>to / toward / until</t>
        </is>
      </c>
      <c r="I22" s="7" t="inlineStr">
        <is>
          <t>দিকে / প্রতি / পর্যন্ত</t>
        </is>
      </c>
      <c r="J22" s="7" t="inlineStr">
        <is>
          <t>طرف / تک</t>
        </is>
      </c>
      <c r="K22" s="7" t="inlineStr">
        <is>
          <t>ke / kepada / sampai</t>
        </is>
      </c>
    </row>
    <row r="23" ht="22" customHeight="1">
      <c r="A23" s="20" t="n">
        <v>9</v>
      </c>
      <c r="B23" s="9" t="inlineStr">
        <is>
          <t>مَن</t>
        </is>
      </c>
      <c r="C23" s="21" t="inlineStr">
        <is>
          <t>man</t>
        </is>
      </c>
      <c r="D23" s="7" t="inlineStr">
        <is>
          <t>Relative / Interrogative</t>
        </is>
      </c>
      <c r="E23" s="22" t="n">
        <v>606</v>
      </c>
      <c r="F23" s="10">
        <f>E23/21462</f>
        <v/>
      </c>
      <c r="G23" s="10">
        <f>E23/77429</f>
        <v/>
      </c>
      <c r="H23" s="7" t="inlineStr">
        <is>
          <t>who / whoever / interrogative</t>
        </is>
      </c>
      <c r="I23" s="7" t="inlineStr">
        <is>
          <t>যে / যে কেউ / কে</t>
        </is>
      </c>
      <c r="J23" s="7" t="inlineStr">
        <is>
          <t>جو / جو کوئی / کون</t>
        </is>
      </c>
      <c r="K23" s="7" t="inlineStr">
        <is>
          <t>siapa / barangsiapa</t>
        </is>
      </c>
    </row>
    <row r="24" ht="22" customHeight="1">
      <c r="A24" s="20" t="n">
        <v>10</v>
      </c>
      <c r="B24" s="9" t="inlineStr">
        <is>
          <t>إِن</t>
        </is>
      </c>
      <c r="C24" s="21" t="inlineStr">
        <is>
          <t>in</t>
        </is>
      </c>
      <c r="D24" s="7" t="inlineStr">
        <is>
          <t>Conditional Particle (Ḥarf Sharṭ)</t>
        </is>
      </c>
      <c r="E24" s="22" t="n">
        <v>578</v>
      </c>
      <c r="F24" s="10">
        <f>E24/21462</f>
        <v/>
      </c>
      <c r="G24" s="10">
        <f>E24/77429</f>
        <v/>
      </c>
      <c r="H24" s="7" t="inlineStr">
        <is>
          <t>if / conditional logic</t>
        </is>
      </c>
      <c r="I24" s="7" t="inlineStr">
        <is>
          <t>যদি (শর্তসূচক)</t>
        </is>
      </c>
      <c r="J24" s="7" t="inlineStr">
        <is>
          <t>اگر</t>
        </is>
      </c>
      <c r="K24" s="7" t="inlineStr">
        <is>
          <t>jika / jikalau</t>
        </is>
      </c>
    </row>
    <row r="25" ht="22" customHeight="1">
      <c r="A25" s="20" t="n">
        <v>11</v>
      </c>
      <c r="B25" s="9" t="inlineStr">
        <is>
          <t>أَنْ</t>
        </is>
      </c>
      <c r="C25" s="21" t="inlineStr">
        <is>
          <t>an</t>
        </is>
      </c>
      <c r="D25" s="7" t="inlineStr">
        <is>
          <t>Subordinating Conjunction</t>
        </is>
      </c>
      <c r="E25" s="22" t="n">
        <v>578</v>
      </c>
      <c r="F25" s="10">
        <f>E25/21462</f>
        <v/>
      </c>
      <c r="G25" s="10">
        <f>E25/77429</f>
        <v/>
      </c>
      <c r="H25" s="7" t="inlineStr">
        <is>
          <t>that / objective conjunction</t>
        </is>
      </c>
      <c r="I25" s="7" t="inlineStr">
        <is>
          <t>যে (সংযোগমূলক)</t>
        </is>
      </c>
      <c r="J25" s="7" t="inlineStr">
        <is>
          <t>کہ</t>
        </is>
      </c>
      <c r="K25" s="7" t="inlineStr">
        <is>
          <t>bahwa / untuk</t>
        </is>
      </c>
    </row>
    <row r="26" ht="22" customHeight="1">
      <c r="A26" s="20" t="n">
        <v>12</v>
      </c>
      <c r="B26" s="9" t="inlineStr">
        <is>
          <t>إِلَّا</t>
        </is>
      </c>
      <c r="C26" s="21" t="inlineStr">
        <is>
          <t>illā</t>
        </is>
      </c>
      <c r="D26" s="7" t="inlineStr">
        <is>
          <t>Exceptive Particle (Ḥarf Istithnāʾ)</t>
        </is>
      </c>
      <c r="E26" s="22" t="n">
        <v>558</v>
      </c>
      <c r="F26" s="10">
        <f>E26/21462</f>
        <v/>
      </c>
      <c r="G26" s="10">
        <f>E26/77429</f>
        <v/>
      </c>
      <c r="H26" s="7" t="inlineStr">
        <is>
          <t>except / unless / save</t>
        </is>
      </c>
      <c r="I26" s="7" t="inlineStr">
        <is>
          <t>ব্যতীত / ছাড়া / ভিন্ন</t>
        </is>
      </c>
      <c r="J26" s="7" t="inlineStr">
        <is>
          <t>سوائے / مگر</t>
        </is>
      </c>
      <c r="K26" s="7" t="inlineStr">
        <is>
          <t>kecuali / selain</t>
        </is>
      </c>
    </row>
    <row r="27" ht="22" customHeight="1">
      <c r="A27" s="20" t="n">
        <v>13</v>
      </c>
      <c r="B27" s="9" t="inlineStr">
        <is>
          <t>ذَٰلِك</t>
        </is>
      </c>
      <c r="C27" s="21" t="inlineStr">
        <is>
          <t>dhālik</t>
        </is>
      </c>
      <c r="D27" s="7" t="inlineStr">
        <is>
          <t>Demonstrative Pronoun</t>
        </is>
      </c>
      <c r="E27" s="22" t="n">
        <v>520</v>
      </c>
      <c r="F27" s="10">
        <f>E27/21462</f>
        <v/>
      </c>
      <c r="G27" s="10">
        <f>E27/77429</f>
        <v/>
      </c>
      <c r="H27" s="7" t="inlineStr">
        <is>
          <t>that (singular distance)</t>
        </is>
      </c>
      <c r="I27" s="7" t="inlineStr">
        <is>
          <t>তাহা / ঐ</t>
        </is>
      </c>
      <c r="J27" s="7" t="inlineStr">
        <is>
          <t>وہ / اس</t>
        </is>
      </c>
      <c r="K27" s="7" t="inlineStr">
        <is>
          <t>itu (tunggal)</t>
        </is>
      </c>
    </row>
    <row r="28" ht="22" customHeight="1">
      <c r="A28" s="20" t="n">
        <v>14</v>
      </c>
      <c r="B28" s="9" t="inlineStr">
        <is>
          <t>عَنْ</t>
        </is>
      </c>
      <c r="C28" s="21" t="inlineStr">
        <is>
          <t>ʿan</t>
        </is>
      </c>
      <c r="D28" s="7" t="inlineStr">
        <is>
          <t>Preposition (Ḥarf Jar)</t>
        </is>
      </c>
      <c r="E28" s="22" t="n">
        <v>465</v>
      </c>
      <c r="F28" s="10">
        <f>E28/21462</f>
        <v/>
      </c>
      <c r="G28" s="10">
        <f>E28/77429</f>
        <v/>
      </c>
      <c r="H28" s="7" t="inlineStr">
        <is>
          <t>from / about / away from</t>
        </is>
      </c>
      <c r="I28" s="7" t="inlineStr">
        <is>
          <t>হতে / থেকে / সম্বন্ধে</t>
        </is>
      </c>
      <c r="J28" s="7" t="inlineStr">
        <is>
          <t>سے / بارے میں</t>
        </is>
      </c>
      <c r="K28" s="7" t="inlineStr">
        <is>
          <t>dari / tentang / lewat</t>
        </is>
      </c>
    </row>
    <row r="29" ht="22" customHeight="1">
      <c r="A29" s="20" t="n">
        <v>15</v>
      </c>
      <c r="B29" s="9" t="inlineStr">
        <is>
          <t>قَد</t>
        </is>
      </c>
      <c r="C29" s="21" t="inlineStr">
        <is>
          <t>qad</t>
        </is>
      </c>
      <c r="D29" s="7" t="inlineStr">
        <is>
          <t>Certainty Particle (Ḥarf Taḥqīq)</t>
        </is>
      </c>
      <c r="E29" s="22" t="n">
        <v>406</v>
      </c>
      <c r="F29" s="10">
        <f>E29/21462</f>
        <v/>
      </c>
      <c r="G29" s="10">
        <f>E29/77429</f>
        <v/>
      </c>
      <c r="H29" s="7" t="inlineStr">
        <is>
          <t>already / surely / certainty</t>
        </is>
      </c>
      <c r="I29" s="7" t="inlineStr">
        <is>
          <t>অবশ্যই / ইতোমধ্যে / সত্যই</t>
        </is>
      </c>
      <c r="J29" s="7" t="inlineStr">
        <is>
          <t>تحقیق / یقیناً</t>
        </is>
      </c>
      <c r="K29" s="7" t="inlineStr">
        <is>
          <t>sungguh / benar-benar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</cols>
  <sheetData>
    <row r="1" ht="25" customHeight="1">
      <c r="A1" s="1" t="inlineStr">
        <is>
          <t>LINGUISTIC CONCENTRATION &amp; ZIPF'S LAW OF COMPREHENSION</t>
        </is>
      </c>
    </row>
    <row r="2" ht="18" customHeight="1">
      <c r="A2" s="2" t="inlineStr">
        <is>
          <t>Scientific Analysis of Vocabulary Milestones and the 26 Most Morphologically Fertile Roots</t>
        </is>
      </c>
    </row>
    <row r="3"/>
    <row r="4">
      <c r="A4" s="3" t="inlineStr">
        <is>
          <t>1. Pareto Principle / Quranic Comprehension Milestones</t>
        </is>
      </c>
    </row>
    <row r="5" ht="24" customHeight="1">
      <c r="A5" s="4" t="inlineStr">
        <is>
          <t>Vocabulary Milestone</t>
        </is>
      </c>
      <c r="B5" s="4" t="inlineStr">
        <is>
          <t>Lemmas Mastery</t>
        </is>
      </c>
      <c r="C5" s="4" t="inlineStr">
        <is>
          <t>Cumulative Running Tokens</t>
        </is>
      </c>
      <c r="D5" s="4" t="inlineStr">
        <is>
          <t>% of Total Corpus</t>
        </is>
      </c>
      <c r="E5" s="4" t="inlineStr">
        <is>
          <t>Bangla Comprehension (বাংলা)</t>
        </is>
      </c>
      <c r="F5" s="4" t="inlineStr">
        <is>
          <t>Pedagogical Focus &amp; Description</t>
        </is>
      </c>
    </row>
    <row r="6" ht="22" customHeight="1">
      <c r="A6" s="5" t="inlineStr">
        <is>
          <t>Structural Skeleton Only</t>
        </is>
      </c>
      <c r="B6" s="6" t="n">
        <v>50</v>
      </c>
      <c r="C6" s="6" t="n">
        <v>15500</v>
      </c>
      <c r="D6" s="10">
        <f>C6/77429</f>
        <v/>
      </c>
      <c r="E6" s="7" t="inlineStr">
        <is>
          <t>কেবলমাত্র অব্যয় ও সর্বনাম</t>
        </is>
      </c>
      <c r="F6" s="7" t="inlineStr">
        <is>
          <t>Structural pronouns, prepositions, and conjunctions forming the base syntax skeleton of the text.</t>
        </is>
      </c>
    </row>
    <row r="7" ht="22" customHeight="1">
      <c r="A7" s="5" t="inlineStr">
        <is>
          <t>Top 10 Master Words</t>
        </is>
      </c>
      <c r="B7" s="6" t="n">
        <v>10</v>
      </c>
      <c r="C7" s="6" t="n">
        <v>19350</v>
      </c>
      <c r="D7" s="10">
        <f>C7/77429</f>
        <v/>
      </c>
      <c r="E7" s="7" t="inlineStr">
        <is>
          <t>শীর্ষ ১০টি অতি-ব্যবহৃত শব্দ</t>
        </is>
      </c>
      <c r="F7" s="7" t="inlineStr">
        <is>
          <t>Unlocks 1 out of every 4 running words. Includes Allah, rabb, qala, min, fi, inna, etc.</t>
        </is>
      </c>
    </row>
    <row r="8" ht="22" customHeight="1">
      <c r="A8" s="5" t="inlineStr">
        <is>
          <t>Top 50 Core Words</t>
        </is>
      </c>
      <c r="B8" s="6" t="n">
        <v>50</v>
      </c>
      <c r="C8" s="6" t="n">
        <v>38700</v>
      </c>
      <c r="D8" s="10">
        <f>C8/77429</f>
        <v/>
      </c>
      <c r="E8" s="7" t="inlineStr">
        <is>
          <t>শীর্ষ ৫০টি মৌলিক শব্দ</t>
        </is>
      </c>
      <c r="F8" s="7" t="inlineStr">
        <is>
          <t>Unlocks exactly HALF of the entire Quranic running text. The critical core targeted by educators.</t>
        </is>
      </c>
    </row>
    <row r="9" ht="22" customHeight="1">
      <c r="A9" s="5" t="inlineStr">
        <is>
          <t>Top 100 Common Words</t>
        </is>
      </c>
      <c r="B9" s="6" t="n">
        <v>100</v>
      </c>
      <c r="C9" s="6" t="n">
        <v>46450</v>
      </c>
      <c r="D9" s="10">
        <f>C9/77429</f>
        <v/>
      </c>
      <c r="E9" s="7" t="inlineStr">
        <is>
          <t>শীর্ষ ১০০টি সাধারণ শব্দ</t>
        </is>
      </c>
      <c r="F9" s="7" t="inlineStr">
        <is>
          <t>Extended vocabulary base capturing 60% of all running texts across all surahs.</t>
        </is>
      </c>
    </row>
    <row r="10" ht="22" customHeight="1">
      <c r="A10" s="5" t="inlineStr">
        <is>
          <t>Top 500 Root Families</t>
        </is>
      </c>
      <c r="B10" s="6" t="n">
        <v>500</v>
      </c>
      <c r="C10" s="6" t="n">
        <v>65800</v>
      </c>
      <c r="D10" s="10">
        <f>C10/77429</f>
        <v/>
      </c>
      <c r="E10" s="7" t="inlineStr">
        <is>
          <t>শীর্ষ ৫০০টি মূল শব্দ পরিবার</t>
        </is>
      </c>
      <c r="F10" s="7" t="inlineStr">
        <is>
          <t>The 80/20 rule target: Unlocks 85% of structural and vocabulary comprehension.</t>
        </is>
      </c>
    </row>
    <row r="11" ht="22" customHeight="1">
      <c r="A11" s="5" t="inlineStr">
        <is>
          <t>Complete Corpus Mastery</t>
        </is>
      </c>
      <c r="B11" s="6" t="n">
        <v>4616</v>
      </c>
      <c r="C11" s="6" t="n">
        <v>77429</v>
      </c>
      <c r="D11" s="10">
        <f>C11/77429</f>
        <v/>
      </c>
      <c r="E11" s="7" t="inlineStr">
        <is>
          <t>পূর্ণাঙ্গ কুরআনিক শব্দভাণ্ডার</t>
        </is>
      </c>
      <c r="F11" s="7" t="inlineStr">
        <is>
          <t>100% complete vocabulary mastery of all unique nominals, verbs, and particles.</t>
        </is>
      </c>
    </row>
    <row r="12"/>
    <row r="13"/>
    <row r="14">
      <c r="A14" s="3" t="inlineStr">
        <is>
          <t>2. The 10 Most Morphologically Fertile Roots (Core Semantic Engines)</t>
        </is>
      </c>
    </row>
    <row r="15" ht="24" customHeight="1">
      <c r="A15" s="8" t="inlineStr">
        <is>
          <t>Rank</t>
        </is>
      </c>
      <c r="B15" s="8" t="inlineStr">
        <is>
          <t>Core Triliteral Root</t>
        </is>
      </c>
      <c r="C15" s="8" t="inlineStr">
        <is>
          <t>Transliteration</t>
        </is>
      </c>
      <c r="D15" s="8" t="inlineStr">
        <is>
          <t>Derived Word Forms</t>
        </is>
      </c>
      <c r="E15" s="8" t="inlineStr">
        <is>
          <t>Total Occurrences</t>
        </is>
      </c>
      <c r="F15" s="8" t="inlineStr">
        <is>
          <t>Core Semantic Concept / Meaning</t>
        </is>
      </c>
      <c r="G15" s="8" t="inlineStr">
        <is>
          <t>Bangla Semantic Core (বাংলা অর্থ)</t>
        </is>
      </c>
    </row>
    <row r="16" ht="22" customHeight="1">
      <c r="A16" s="20" t="n">
        <v>1</v>
      </c>
      <c r="B16" s="9" t="inlineStr">
        <is>
          <t>ق و م</t>
        </is>
      </c>
      <c r="C16" s="7" t="inlineStr">
        <is>
          <t>q-w-m</t>
        </is>
      </c>
      <c r="D16" s="6" t="n">
        <v>22</v>
      </c>
      <c r="E16" s="6" t="n">
        <v>660</v>
      </c>
      <c r="F16" s="7" t="inlineStr">
        <is>
          <t>To stand, establish, remain upright, persist, or value.</t>
        </is>
      </c>
      <c r="G16" s="7" t="inlineStr">
        <is>
          <t>দাঁড়ানো / প্রতিষ্ঠা করা / সোজা থাকা / কায়িম করা</t>
        </is>
      </c>
    </row>
    <row r="17" ht="22" customHeight="1">
      <c r="A17" s="20" t="n">
        <v>2</v>
      </c>
      <c r="B17" s="9" t="inlineStr">
        <is>
          <t>ص د ق</t>
        </is>
      </c>
      <c r="C17" s="7" t="inlineStr">
        <is>
          <t>ṣ-d-q</t>
        </is>
      </c>
      <c r="D17" s="6" t="n">
        <v>19</v>
      </c>
      <c r="E17" s="6" t="n">
        <v>155</v>
      </c>
      <c r="F17" s="7" t="inlineStr">
        <is>
          <t>To be truthful, sincere, verify, give charity, or prove true.</t>
        </is>
      </c>
      <c r="G17" s="7" t="inlineStr">
        <is>
          <t>সত্য বলা / আন্তরিক হওয়া / দান করা / সত্যতা প্রমাণ করা</t>
        </is>
      </c>
    </row>
    <row r="18" ht="22" customHeight="1">
      <c r="A18" s="20" t="n">
        <v>3</v>
      </c>
      <c r="B18" s="9" t="inlineStr">
        <is>
          <t>خ ل ف</t>
        </is>
      </c>
      <c r="C18" s="7" t="inlineStr">
        <is>
          <t>kh-l-f</t>
        </is>
      </c>
      <c r="D18" s="6" t="n">
        <v>18</v>
      </c>
      <c r="E18" s="6" t="n">
        <v>127</v>
      </c>
      <c r="F18" s="7" t="inlineStr">
        <is>
          <t>To succeed, replace, differ, lag behind, or leave behind.</t>
        </is>
      </c>
      <c r="G18" s="7" t="inlineStr">
        <is>
          <t>স্থলাভিষিক্ত হওয়া / উত্তরাধিকারী হওয়া / ভিন্ন হওয়া</t>
        </is>
      </c>
    </row>
    <row r="19" ht="22" customHeight="1">
      <c r="A19" s="20" t="n">
        <v>4</v>
      </c>
      <c r="B19" s="9" t="inlineStr">
        <is>
          <t>أ م ن</t>
        </is>
      </c>
      <c r="C19" s="7" t="inlineStr">
        <is>
          <t>ʾ-m-n</t>
        </is>
      </c>
      <c r="D19" s="6" t="n">
        <v>17</v>
      </c>
      <c r="E19" s="6" t="n">
        <v>879</v>
      </c>
      <c r="F19" s="7" t="inlineStr">
        <is>
          <t>To believe, trust, give security, or render safe.</t>
        </is>
      </c>
      <c r="G19" s="7" t="inlineStr">
        <is>
          <t>বিশ্বাস করা / ঈমান আনা / নিরাপদ হওয়া / আমানত রাখা</t>
        </is>
      </c>
    </row>
    <row r="20" ht="22" customHeight="1">
      <c r="A20" s="20" t="n">
        <v>5</v>
      </c>
      <c r="B20" s="9" t="inlineStr">
        <is>
          <t>س ل م</t>
        </is>
      </c>
      <c r="C20" s="7" t="inlineStr">
        <is>
          <t>s-l-m</t>
        </is>
      </c>
      <c r="D20" s="6" t="n">
        <v>16</v>
      </c>
      <c r="E20" s="6" t="n">
        <v>140</v>
      </c>
      <c r="F20" s="7" t="inlineStr">
        <is>
          <t>To be safe, secure, submit, surrender, or make peace.</t>
        </is>
      </c>
      <c r="G20" s="7" t="inlineStr">
        <is>
          <t>শান্তি স্থাপন করা / আত্মসমর্পণ করা / সুস্থ থাকা</t>
        </is>
      </c>
    </row>
    <row r="21" ht="22" customHeight="1">
      <c r="A21" s="20" t="n">
        <v>6</v>
      </c>
      <c r="B21" s="9" t="inlineStr">
        <is>
          <t>ع ل م</t>
        </is>
      </c>
      <c r="C21" s="7" t="inlineStr">
        <is>
          <t>ʿ-l-m</t>
        </is>
      </c>
      <c r="D21" s="6" t="n">
        <v>14</v>
      </c>
      <c r="E21" s="6" t="n">
        <v>854</v>
      </c>
      <c r="F21" s="7" t="inlineStr">
        <is>
          <t>To know, perceive, learn, teach, or mark.</t>
        </is>
      </c>
      <c r="G21" s="7" t="inlineStr">
        <is>
          <t>জানা / শিক্ষা দেওয়া / অবগত হওয়া / চিহ্নিত করা</t>
        </is>
      </c>
    </row>
    <row r="22" ht="22" customHeight="1">
      <c r="A22" s="20" t="n">
        <v>7</v>
      </c>
      <c r="B22" s="9" t="inlineStr">
        <is>
          <t>ع ل و</t>
        </is>
      </c>
      <c r="C22" s="7" t="inlineStr">
        <is>
          <t>ʿ-l-w</t>
        </is>
      </c>
      <c r="D22" s="6" t="n">
        <v>14</v>
      </c>
      <c r="E22" s="6" t="n">
        <v>70</v>
      </c>
      <c r="F22" s="7" t="inlineStr">
        <is>
          <t>To be high, exalted, elevate, ascend, or transcend.</t>
        </is>
      </c>
      <c r="G22" s="7" t="inlineStr">
        <is>
          <t>উঁচু হওয়া / উন্নত হওয়া / শ্রেষ্ঠত্ব অর্জন করা</t>
        </is>
      </c>
    </row>
    <row r="23" ht="22" customHeight="1">
      <c r="A23" s="20" t="n">
        <v>8</v>
      </c>
      <c r="B23" s="9" t="inlineStr">
        <is>
          <t>ف ر ق</t>
        </is>
      </c>
      <c r="C23" s="7" t="inlineStr">
        <is>
          <t>f-r-q</t>
        </is>
      </c>
      <c r="D23" s="6" t="n">
        <v>14</v>
      </c>
      <c r="E23" s="6" t="n">
        <v>72</v>
      </c>
      <c r="F23" s="7" t="inlineStr">
        <is>
          <t>To separate, divide, distinguish, or differentiate.</t>
        </is>
      </c>
      <c r="G23" s="7" t="inlineStr">
        <is>
          <t>পৃথক করা / ভাগ করা / পার্থক্য করা / ফায়সালা করা</t>
        </is>
      </c>
    </row>
    <row r="24" ht="22" customHeight="1">
      <c r="A24" s="20" t="n">
        <v>9</v>
      </c>
      <c r="B24" s="9" t="inlineStr">
        <is>
          <t>ك ف ر</t>
        </is>
      </c>
      <c r="C24" s="7" t="inlineStr">
        <is>
          <t>k-f-r</t>
        </is>
      </c>
      <c r="D24" s="6" t="n">
        <v>14</v>
      </c>
      <c r="E24" s="6" t="n">
        <v>525</v>
      </c>
      <c r="F24" s="7" t="inlineStr">
        <is>
          <t>To disbelieve, deny, cover, expiate, or be ungrateful.</t>
        </is>
      </c>
      <c r="G24" s="7" t="inlineStr">
        <is>
          <t>অস্বীকার করা / কুফরি করা / ঢেকে রাখা / কাফফারা দেওয়া</t>
        </is>
      </c>
    </row>
    <row r="25" ht="22" customHeight="1">
      <c r="A25" s="20" t="n">
        <v>10</v>
      </c>
      <c r="B25" s="9" t="inlineStr">
        <is>
          <t>ذ ك ر</t>
        </is>
      </c>
      <c r="C25" s="7" t="inlineStr">
        <is>
          <t>dh-k-r</t>
        </is>
      </c>
      <c r="D25" s="6" t="n">
        <v>14</v>
      </c>
      <c r="E25" s="6" t="n">
        <v>292</v>
      </c>
      <c r="F25" s="7" t="inlineStr">
        <is>
          <t>To remember, mention, remind, or recollect.</t>
        </is>
      </c>
      <c r="G25" s="7" t="inlineStr">
        <is>
          <t>স্মরণ করা / জিকির করা / আলোচনা করা / উপদেশ দেওয়া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2026-09-02T04:38:30Z</dcterms:created>
  <dcterms:modified xmlns:dcterms="http://purl.org/dc/terms/" xmlns:xsi="http://www.w3.org/2001/XMLSchema-instance" xsi:type="dcterms:W3CDTF">2026-09-02T04:38:30Z</dcterms:modified>
</cp:coreProperties>
</file>